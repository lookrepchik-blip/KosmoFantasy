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tables/table3.xml" ContentType="application/vnd.openxmlformats-officedocument.spreadsheetml.table+xml"/>
  <Override PartName="/xl/worksheets/sheet14.xml" ContentType="application/vnd.openxmlformats-officedocument.spreadsheetml.worksheet+xml"/>
  <Override PartName="/xl/tables/table4.xml" ContentType="application/vnd.openxmlformats-officedocument.spreadsheetml.table+xml"/>
  <Override PartName="/xl/worksheets/sheet15.xml" ContentType="application/vnd.openxmlformats-officedocument.spreadsheetml.worksheet+xml"/>
  <Override PartName="/xl/tables/table5.xml" ContentType="application/vnd.openxmlformats-officedocument.spreadsheetml.table+xml"/>
  <Override PartName="/xl/worksheets/sheet1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5eb1ec24f4c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bec10a0e1794afe"/>
    <x:sheet xmlns:r="http://schemas.openxmlformats.org/officeDocument/2006/relationships" name="BeteraPool" sheetId="2" r:id="R4eb2c168a8db4dff"/>
    <x:sheet xmlns:r="http://schemas.openxmlformats.org/officeDocument/2006/relationships" name="Scoring" sheetId="3" r:id="Rca020a05a3524b09"/>
    <x:sheet xmlns:r="http://schemas.openxmlformats.org/officeDocument/2006/relationships" name="Rules" sheetId="4" r:id="R382f1456bcdd4fb1"/>
    <x:sheet xmlns:r="http://schemas.openxmlformats.org/officeDocument/2006/relationships" name="BaseTotals" sheetId="5" r:id="R67eef5161e2f49de"/>
    <x:sheet xmlns:r="http://schemas.openxmlformats.org/officeDocument/2006/relationships" name="InputPlayers" sheetId="6" r:id="R46a4e9d24c7b48d0"/>
    <x:sheet xmlns:r="http://schemas.openxmlformats.org/officeDocument/2006/relationships" name="InputTours" sheetId="7" r:id="R5c67296452994114"/>
    <x:sheet xmlns:r="http://schemas.openxmlformats.org/officeDocument/2006/relationships" name="RoundSummary" sheetId="8" r:id="R4e980de7b0834a82"/>
    <x:sheet xmlns:r="http://schemas.openxmlformats.org/officeDocument/2006/relationships" name="StageTotals" sheetId="9" r:id="Ra18b035491184fd0"/>
    <x:sheet xmlns:r="http://schemas.openxmlformats.org/officeDocument/2006/relationships" name="Participants" sheetId="10" r:id="Ra7c2d459368d497f"/>
    <x:sheet xmlns:r="http://schemas.openxmlformats.org/officeDocument/2006/relationships" name="PlayerSummary" sheetId="11" r:id="R5c4a93a815a24760"/>
    <x:sheet xmlns:r="http://schemas.openxmlformats.org/officeDocument/2006/relationships" name="Snapshot" sheetId="12" r:id="R1b9fce7113004081"/>
    <x:sheet xmlns:r="http://schemas.openxmlformats.org/officeDocument/2006/relationships" name="Rosters_Reg" sheetId="13" r:id="R0edb5c89d81143a6"/>
    <x:sheet xmlns:r="http://schemas.openxmlformats.org/officeDocument/2006/relationships" name="Rosters_PO" sheetId="14" r:id="R2ea4958f904c4d79"/>
    <x:sheet xmlns:r="http://schemas.openxmlformats.org/officeDocument/2006/relationships" name="Players" sheetId="15" r:id="R28e9d463ae4d4b22"/>
    <x:sheet xmlns:r="http://schemas.openxmlformats.org/officeDocument/2006/relationships" name="Lists" sheetId="16" r:id="R88a9fcb9d2514082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F6" authorId="0">
      <x:text>
        <x:r>
          <x:t>Сюда вноси очки слота за конкретный тур.</x:t>
        </x:r>
      </x:text>
    </x:comment>
    <x:comment ref="L6" authorId="0">
      <x:text>
        <x:r>
          <x:t>Итог тура считается автоматически как сумма очков по шести слотам.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dd.mm.yyyy"/>
  </x:numFmts>
  <x:fonts count="18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i/>
      <x:color rgb="00666666"/>
    </x:font>
    <x:font>
      <x:b/>
      <x:color rgb="00FFFFFF"/>
    </x:font>
    <x:font>
      <x:b/>
      <x:sz val="14"/>
    </x:font>
    <x:font>
      <x:b/>
      <x:sz val="16"/>
      <x:color rgb="000F2747"/>
    </x:font>
    <x:font>
      <x:b/>
      <x:sz val="12"/>
      <x:color rgb="000F2747"/>
    </x:font>
    <x:font>
      <x:i/>
      <x:color rgb="00C55A11"/>
    </x:font>
    <x:font>
      <x:color rgb="007030A0"/>
    </x:font>
    <x:font>
      <x:color rgb="000000FF"/>
    </x:font>
    <x:font>
      <x:color rgb="00666666"/>
    </x:font>
    <x:font>
      <x:i/>
      <x:color rgb="007030A0"/>
    </x:font>
    <x:font>
      <x:b/>
      <x:color rgb="00000000"/>
    </x:font>
    <x:font>
      <x:color rgb="00C55A11"/>
    </x:font>
    <x:font>
      <x:color rgb="00008000"/>
    </x:font>
    <x:font>
      <x:b/>
    </x:font>
    <x:font>
      <x:sz val="11"/>
    </x:font>
    <x:font>
      <x:b/>
      <x:sz val="14"/>
      <x:color rgb="00FFFFFF"/>
    </x:font>
  </x:fonts>
  <x:fills count="17">
    <x:fill>
      <x:patternFill patternType="none"/>
    </x:fill>
    <x:fill>
      <x:patternFill patternType="gray125"/>
    </x:fill>
    <x:fill>
      <x:patternFill patternType="solid">
        <x:fgColor rgb="000F2747"/>
      </x:patternFill>
    </x:fill>
    <x:fill>
      <x:patternFill patternType="solid">
        <x:fgColor rgb="00D8B24A"/>
      </x:patternFill>
    </x:fill>
    <x:fill>
      <x:patternFill patternType="solid">
        <x:fgColor rgb="00F6F2E8"/>
      </x:patternFill>
    </x:fill>
    <x:fill>
      <x:patternFill patternType="solid">
        <x:fgColor rgb="00E9EEF7"/>
      </x:patternFill>
    </x:fill>
    <x:fill>
      <x:patternFill patternType="solid">
        <x:fgColor rgb="00D9D9D9"/>
      </x:patternFill>
    </x:fill>
    <x:fill>
      <x:patternFill patternType="solid">
        <x:fgColor rgb="00F4B183"/>
      </x:patternFill>
    </x:fill>
    <x:fill>
      <x:patternFill patternType="solid">
        <x:fgColor rgb="001F4E78"/>
      </x:patternFill>
    </x:fill>
    <x:fill>
      <x:patternFill patternType="solid">
        <x:fgColor rgb="00FFF2CC"/>
      </x:patternFill>
    </x:fill>
    <x:fill>
      <x:patternFill patternType="solid">
        <x:fgColor rgb="00EADCF8"/>
      </x:patternFill>
    </x:fill>
    <x:fill>
      <x:patternFill patternType="solid">
        <x:fgColor rgb="00D9EAF7"/>
      </x:patternFill>
    </x:fill>
    <x:fill>
      <x:patternFill patternType="solid">
        <x:fgColor rgb="00F3F4F6"/>
      </x:patternFill>
    </x:fill>
    <x:fill>
      <x:patternFill patternType="solid">
        <x:fgColor rgb="00DDEBF7"/>
      </x:patternFill>
    </x:fill>
    <x:fill>
      <x:patternFill patternType="solid">
        <x:fgColor rgb="00E2F0D9"/>
      </x:patternFill>
    </x:fill>
    <x:fill>
      <x:patternFill patternType="solid">
        <x:fgColor rgb="000F766E"/>
      </x:patternFill>
    </x:fill>
    <x:fill>
      <x:patternFill patternType="solid">
        <x:fgColor rgb="00F8FBFF"/>
      </x:patternFill>
    </x:fill>
  </x:fills>
  <x:borders count="8">
    <x:border>
      <x:left/>
      <x:right/>
      <x:top/>
      <x:bottom/>
      <x:diagonal/>
    </x:border>
    <x:border>
      <x:left style="medium">
        <x:color rgb="000F2747"/>
      </x:left>
      <x:right style="medium">
        <x:color rgb="000F2747"/>
      </x:right>
      <x:top style="medium">
        <x:color rgb="000F2747"/>
      </x:top>
      <x:bottom style="medium">
        <x:color rgb="000F2747"/>
      </x:bottom>
    </x:border>
    <x:border>
      <x:left style="thin">
        <x:color rgb="00B7B7B7"/>
      </x:left>
      <x:right style="thin">
        <x:color rgb="00B7B7B7"/>
      </x:right>
      <x:top style="thin">
        <x:color rgb="00B7B7B7"/>
      </x:top>
      <x:bottom style="thin">
        <x:color rgb="00B7B7B7"/>
      </x:bottom>
    </x:border>
    <x:border>
      <x:left/>
      <x:right/>
      <x:top style="medium">
        <x:color rgb="000F2747"/>
      </x:top>
      <x:bottom/>
      <x:diagonal/>
    </x:border>
    <x:border>
      <x:left/>
      <x:right style="medium">
        <x:color rgb="000F2747"/>
      </x:right>
      <x:top style="medium">
        <x:color rgb="000F2747"/>
      </x:top>
      <x:bottom/>
      <x:diagonal/>
    </x:border>
    <x:border>
      <x:left/>
      <x:right/>
      <x:top style="medium">
        <x:color rgb="000F2747"/>
      </x:top>
      <x:bottom style="medium">
        <x:color rgb="000F2747"/>
      </x:bottom>
      <x:diagonal/>
    </x:border>
    <x:border>
      <x:left/>
      <x:right style="medium">
        <x:color rgb="000F2747"/>
      </x:right>
      <x:top style="medium">
        <x:color rgb="000F2747"/>
      </x:top>
      <x:bottom style="medium">
        <x:color rgb="000F2747"/>
      </x:bottom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1" fillId="2" borderId="0" xfId="0" applyAlignment="1">
      <x:alignment horizontal="center" vertical="center"/>
    </x:xf>
    <x:xf numFmtId="0" fontId="2" fillId="0" borderId="0" xfId="0"/>
    <x:xf numFmtId="0" fontId="3" fillId="3" borderId="1" xfId="0" applyAlignment="1">
      <x:alignment horizontal="center"/>
    </x:xf>
    <x:xf numFmtId="0" fontId="0" fillId="0" borderId="1" xfId="0"/>
    <x:xf numFmtId="0" fontId="4" fillId="4" borderId="1" xfId="0" applyAlignment="1">
      <x:alignment horizontal="center"/>
    </x:xf>
    <x:xf numFmtId="1" fontId="5" fillId="5" borderId="1" xfId="0" applyAlignment="1">
      <x:alignment horizontal="center"/>
    </x:xf>
    <x:xf numFmtId="0" fontId="3" fillId="2" borderId="2" xfId="0" applyAlignment="1">
      <x:alignment horizontal="center" vertical="center" wrapText="1"/>
    </x:xf>
    <x:xf numFmtId="0" fontId="0" fillId="3" borderId="2" xfId="0" applyAlignment="1">
      <x:alignment vertical="center"/>
    </x:xf>
    <x:xf numFmtId="1" fontId="0" fillId="3" borderId="2" xfId="0" applyAlignment="1">
      <x:alignment vertical="center"/>
    </x:xf>
    <x:xf numFmtId="0" fontId="0" fillId="6" borderId="2" xfId="0" applyAlignment="1">
      <x:alignment vertical="center"/>
    </x:xf>
    <x:xf numFmtId="1" fontId="0" fillId="6" borderId="2" xfId="0" applyAlignment="1">
      <x:alignment vertical="center"/>
    </x:xf>
    <x:xf numFmtId="0" fontId="0" fillId="7" borderId="2" xfId="0" applyAlignment="1">
      <x:alignment vertical="center"/>
    </x:xf>
    <x:xf numFmtId="1" fontId="0" fillId="7" borderId="2" xfId="0" applyAlignment="1">
      <x:alignment vertical="center"/>
    </x:xf>
    <x:xf numFmtId="0" fontId="0" fillId="4" borderId="2" xfId="0" applyAlignment="1">
      <x:alignment vertical="center"/>
    </x:xf>
    <x:xf numFmtId="1" fontId="0" fillId="4" borderId="2" xfId="0" applyAlignment="1">
      <x:alignment vertical="center"/>
    </x:xf>
    <x:xf numFmtId="0" fontId="6" fillId="0" borderId="0" xfId="0"/>
    <x:xf numFmtId="0" fontId="0" fillId="0" borderId="0" xfId="0" applyAlignment="1">
      <x:alignment wrapText="1"/>
    </x:xf>
    <x:xf numFmtId="0" fontId="0" fillId="4" borderId="2" xfId="0" applyAlignment="1">
      <x:alignment vertical="center" wrapText="1"/>
    </x:xf>
    <x:xf numFmtId="0" fontId="0" fillId="0" borderId="2" xfId="0" applyAlignment="1">
      <x:alignment vertical="center" wrapText="1"/>
    </x:xf>
    <x:xf numFmtId="0" fontId="0" fillId="0" borderId="2" xfId="0" applyAlignment="1">
      <x:alignment vertical="center"/>
    </x:xf>
    <x:xf numFmtId="1" fontId="0" fillId="0" borderId="2" xfId="0" applyAlignment="1">
      <x:alignment vertical="center"/>
    </x:xf>
    <x:xf numFmtId="164" fontId="0" fillId="0" borderId="2" xfId="0" applyAlignment="1">
      <x:alignment vertical="center"/>
    </x:xf>
    <x:xf numFmtId="0" fontId="0" fillId="0" borderId="5" xfId="0"/>
    <x:xf numFmtId="0" fontId="0" fillId="0" borderId="6" xfId="0"/>
    <x:xf numFmtId="164" fontId="0" fillId="0" borderId="2" xfId="0" applyAlignment="1">
      <x:alignment vertical="center"/>
    </x:xf>
    <x:xf numFmtId="0" fontId="1" fillId="8" borderId="0" xfId="0" applyAlignment="1">
      <x:alignment horizontal="left" vertical="center"/>
    </x:xf>
    <x:xf numFmtId="0" fontId="7" fillId="9" borderId="0" xfId="0"/>
    <x:xf numFmtId="0" fontId="3" fillId="8" borderId="7" xfId="0" applyAlignment="1">
      <x:alignment horizontal="center" vertical="center" wrapText="1"/>
    </x:xf>
    <x:xf numFmtId="0" fontId="3" fillId="15" borderId="0" xfId="0"/>
    <x:xf numFmtId="0" fontId="15" fillId="13" borderId="0" xfId="0"/>
    <x:xf numFmtId="0" fontId="0" fillId="12" borderId="7" xfId="0"/>
    <x:xf numFmtId="0" fontId="0" fillId="16" borderId="7" xfId="0"/>
    <x:xf numFmtId="0" fontId="15" fillId="13" borderId="7" xfId="0"/>
    <x:xf numFmtId="0" fontId="1" fillId="8" borderId="0" xfId="0" applyAlignment="1">
      <x:alignment horizontal="center" vertical="center"/>
    </x:xf>
    <x:xf numFmtId="0" fontId="7" fillId="9" borderId="0" xfId="0" applyAlignment="1">
      <x:alignment wrapText="1"/>
    </x:xf>
    <x:xf numFmtId="0" fontId="0" fillId="0" borderId="7" xfId="0"/>
    <x:xf numFmtId="0" fontId="8" fillId="10" borderId="7" xfId="0"/>
    <x:xf numFmtId="0" fontId="9" fillId="11" borderId="7" xfId="0"/>
    <x:xf numFmtId="164" fontId="10" fillId="12" borderId="7" xfId="0"/>
    <x:xf numFmtId="0" fontId="10" fillId="12" borderId="7" xfId="0"/>
    <x:xf numFmtId="0" fontId="11" fillId="10" borderId="0" xfId="0" applyAlignment="1">
      <x:alignment wrapText="1"/>
    </x:xf>
    <x:xf numFmtId="164" fontId="9" fillId="11" borderId="7" xfId="0" applyAlignment="1">
      <x:alignment vertical="center"/>
    </x:xf>
    <x:xf numFmtId="0" fontId="8" fillId="11" borderId="7" xfId="0" applyAlignment="1">
      <x:alignment vertical="center"/>
    </x:xf>
    <x:xf numFmtId="0" fontId="9" fillId="11" borderId="7" xfId="0" applyAlignment="1">
      <x:alignment vertical="center"/>
    </x:xf>
    <x:xf numFmtId="0" fontId="12" fillId="13" borderId="7" xfId="0" applyAlignment="1">
      <x:alignment vertical="center"/>
    </x:xf>
    <x:xf numFmtId="0" fontId="13" fillId="9" borderId="7" xfId="0" applyAlignment="1">
      <x:alignment vertical="center"/>
    </x:xf>
    <x:xf numFmtId="0" fontId="11" fillId="10" borderId="0" xfId="0"/>
    <x:xf numFmtId="0" fontId="8" fillId="0" borderId="7" xfId="0"/>
    <x:xf numFmtId="0" fontId="14" fillId="12" borderId="7" xfId="0"/>
    <x:xf numFmtId="0" fontId="0" fillId="13" borderId="7" xfId="0"/>
    <x:xf numFmtId="0" fontId="13" fillId="9" borderId="7" xfId="0"/>
    <x:xf numFmtId="0" fontId="15" fillId="14" borderId="7" xfId="0"/>
    <x:xf numFmtId="0" fontId="10" fillId="0" borderId="7" xfId="0"/>
    <x:xf numFmtId="0" fontId="1" fillId="8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7" fillId="9" borderId="0" xfId="0" applyAlignment="1">
      <x:alignment vertical="center" wrapText="1"/>
    </x:xf>
    <x:xf numFmtId="0" fontId="3" fillId="8" borderId="7" xfId="0" applyAlignment="1">
      <x:alignment horizontal="center"/>
    </x:xf>
    <x:xf numFmtId="0" fontId="4" fillId="0" borderId="0" xfId="0" applyAlignment="1">
      <x:alignment vertical="center" wrapText="1"/>
    </x:xf>
    <x:xf numFmtId="0" fontId="16" fillId="0" borderId="0" xfId="0" applyAlignment="1">
      <x:alignment vertical="center" wrapText="1"/>
    </x:xf>
    <x:xf numFmtId="0" fontId="3" fillId="8" borderId="0" xfId="0" applyAlignment="1">
      <x:alignment horizontal="center"/>
    </x:xf>
    <x:xf numFmtId="0" fontId="3" fillId="8" borderId="0" xfId="0" applyAlignment="1">
      <x:alignment horizontal="center" wrapText="1"/>
    </x:xf>
    <x:xf numFmtId="0" fontId="0" fillId="0" borderId="0" xfId="0" applyAlignment="1">
      <x:alignment vertical="center"/>
    </x:xf>
    <x:xf numFmtId="0" fontId="11" fillId="10" borderId="0" xfId="0" applyAlignment="1">
      <x:alignment vertical="center" wrapText="1"/>
    </x:xf>
    <x:xf numFmtId="0" fontId="3" fillId="8" borderId="7" xfId="0" applyAlignment="1">
      <x:alignment horizontal="center" wrapText="1"/>
    </x:xf>
    <x:xf numFmtId="0" fontId="17" fillId="8" borderId="0" xfId="0"/>
    <x:xf numFmtId="0" fontId="15" fillId="11" borderId="7" xfId="0"/>
    <x:xf numFmtId="0" fontId="0" fillId="0" borderId="0" xfId="0" applyAlignment="1">
      <x:alignment vertical="top"/>
    </x:xf>
  </x:cellXfs>
  <x:cellStyles count="1">
    <x:cellStyle name="Normal" xfId="0"/>
  </x:cellStyles>
  <x:dxfs count="3">
    <x:dxf>
      <x:fill>
        <x:patternFill>
          <x:bgColor rgb="00FFF2CC"/>
        </x:patternFill>
      </x:fill>
    </x:dxf>
    <x:dxf>
      <x:fill>
        <x:patternFill>
          <x:bgColor rgb="00E7E6E6"/>
        </x:patternFill>
      </x:fill>
    </x:dxf>
    <x:dxf>
      <x:fill>
        <x:patternFill>
          <x:bgColor rgb="00F4B183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889bfd1be4a99" /><Relationship Type="http://schemas.openxmlformats.org/officeDocument/2006/relationships/theme" Target="/xl/theme/theme1.xml" Id="Rf591998171534390" /><Relationship Type="http://schemas.openxmlformats.org/officeDocument/2006/relationships/sharedStrings" Target="/xl/sharedStrings.xml" Id="Red3baa2c598c4f90" /><Relationship Type="http://schemas.openxmlformats.org/officeDocument/2006/relationships/worksheet" Target="/xl/worksheets/sheet1.xml" Id="Rcbec10a0e1794afe" /><Relationship Type="http://schemas.openxmlformats.org/officeDocument/2006/relationships/worksheet" Target="/xl/worksheets/sheet2.xml" Id="R4eb2c168a8db4dff" /><Relationship Type="http://schemas.openxmlformats.org/officeDocument/2006/relationships/worksheet" Target="/xl/worksheets/sheet3.xml" Id="Rca020a05a3524b09" /><Relationship Type="http://schemas.openxmlformats.org/officeDocument/2006/relationships/worksheet" Target="/xl/worksheets/sheet4.xml" Id="R382f1456bcdd4fb1" /><Relationship Type="http://schemas.openxmlformats.org/officeDocument/2006/relationships/worksheet" Target="/xl/worksheets/sheet5.xml" Id="R67eef5161e2f49de" /><Relationship Type="http://schemas.openxmlformats.org/officeDocument/2006/relationships/worksheet" Target="/xl/worksheets/sheet6.xml" Id="R46a4e9d24c7b48d0" /><Relationship Type="http://schemas.openxmlformats.org/officeDocument/2006/relationships/worksheet" Target="/xl/worksheets/sheet7.xml" Id="R5c67296452994114" /><Relationship Type="http://schemas.openxmlformats.org/officeDocument/2006/relationships/worksheet" Target="/xl/worksheets/sheet8.xml" Id="R4e980de7b0834a82" /><Relationship Type="http://schemas.openxmlformats.org/officeDocument/2006/relationships/worksheet" Target="/xl/worksheets/sheet9.xml" Id="Ra18b035491184fd0" /><Relationship Type="http://schemas.openxmlformats.org/officeDocument/2006/relationships/worksheet" Target="/xl/worksheets/sheet10.xml" Id="Ra7c2d459368d497f" /><Relationship Type="http://schemas.openxmlformats.org/officeDocument/2006/relationships/worksheet" Target="/xl/worksheets/sheet11.xml" Id="R5c4a93a815a24760" /><Relationship Type="http://schemas.openxmlformats.org/officeDocument/2006/relationships/worksheet" Target="/xl/worksheets/sheet12.xml" Id="R1b9fce7113004081" /><Relationship Type="http://schemas.openxmlformats.org/officeDocument/2006/relationships/worksheet" Target="/xl/worksheets/sheet13.xml" Id="R0edb5c89d81143a6" /><Relationship Type="http://schemas.openxmlformats.org/officeDocument/2006/relationships/worksheet" Target="/xl/worksheets/sheet14.xml" Id="R2ea4958f904c4d79" /><Relationship Type="http://schemas.openxmlformats.org/officeDocument/2006/relationships/worksheet" Target="/xl/worksheets/sheet15.xml" Id="R28e9d463ae4d4b22" /><Relationship Type="http://schemas.openxmlformats.org/officeDocument/2006/relationships/worksheet" Target="/xl/worksheets/sheet16.xml" Id="R88a9fcb9d2514082" /><Relationship Type="http://schemas.microsoft.com/office/2017/10/relationships/person" Target="/xl/persons/person.xml" Id="Raa00b3411e7346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17399527664a89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Общий рейтинг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ser>
          <c:idx val="0"/>
          <c:order val="0"/>
          <c:tx>
            <c:strRef>
              <c:f>'Dashboard'!C14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'Dashboard'!$B$15:$B$19</c:f>
              <c:strCache>
                <c:ptCount val="0"/>
              </c:strCache>
            </c:strRef>
          </c:cat>
          <c:val>
            <c:numRef>
              <c:f>'Dashboard'!$C$15:$C$19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Участники</a:t>
                </a:r>
              </a:p>
            </c:rich>
          </c:tx>
        </c:title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Очки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17399527664a89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723E8400-898E-B61C-B76F-D154EC3C6EC6}"/>
</xltc:personList>
</file>

<file path=xl/tables/table1.xml><?xml version="1.0" encoding="utf-8"?>
<x:table xmlns:x="http://schemas.openxmlformats.org/spreadsheetml/2006/main" id="1" name="BeteraPoolTable" displayName="BeteraPoolTable" ref="A5:E326" headerRowCount="1">
  <x:autoFilter ref="A5:E326"/>
  <x:tableColumns count="5">
    <x:tableColumn id="1" name="Игрок"/>
    <x:tableColumn id="2" name="Клуб"/>
    <x:tableColumn id="3" name="Позиция"/>
    <x:tableColumn id="4" name="Активен"/>
    <x:tableColumn id="5" name="Источник"/>
  </x:tableColumns>
  <x:tableStyleInfo name="TableStyleMedium2" showRowStripes="1"/>
</x:table>
</file>

<file path=xl/tables/table2.xml><?xml version="1.0" encoding="utf-8"?>
<x:table xmlns:x="http://schemas.openxmlformats.org/spreadsheetml/2006/main" id="2" name="ResultsTable" displayName="ResultsTable" ref="A2:G30" headerRowCount="1">
  <x:autoFilter ref="A2:G30"/>
  <x:tableColumns count="7">
    <x:tableColumn id="1" name="Участник"/>
    <x:tableColumn id="2" name="Этап"/>
    <x:tableColumn id="3" name="Команда участника"/>
    <x:tableColumn id="4" name="Очки за последний тур"/>
    <x:tableColumn id="5" name="Итого этапа"/>
    <x:tableColumn id="6" name="Срез по"/>
    <x:tableColumn id="7" name="Раунд"/>
  </x:tableColumns>
  <x:tableStyleInfo name="TableStyleMedium4" showRowStripes="1"/>
</x:table>
</file>

<file path=xl/tables/table3.xml><?xml version="1.0" encoding="utf-8"?>
<x:table xmlns:x="http://schemas.openxmlformats.org/spreadsheetml/2006/main" id="3" name="RegularRosters" displayName="RegularRosters" ref="A2:I86" headerRowCount="1">
  <x:autoFilter ref="A2:I86"/>
  <x:tableColumns count="9">
    <x:tableColumn id="1" name="Участник"/>
    <x:tableColumn id="2" name="Позиция"/>
    <x:tableColumn id="3" name="Слот"/>
    <x:tableColumn id="4" name="Игрок"/>
    <x:tableColumn id="5" name="Клуб"/>
    <x:tableColumn id="6" name="Очки за последний тур"/>
    <x:tableColumn id="7" name="Итого участника"/>
    <x:tableColumn id="8" name="Раунд"/>
    <x:tableColumn id="9" name="Срез по"/>
  </x:tableColumns>
  <x:tableStyleInfo name="TableStyleMedium6" showRowStripes="1"/>
</x:table>
</file>

<file path=xl/tables/table4.xml><?xml version="1.0" encoding="utf-8"?>
<x:table xmlns:x="http://schemas.openxmlformats.org/spreadsheetml/2006/main" id="4" name="PlayoffRosters" displayName="PlayoffRosters" ref="A2:J86" headerRowCount="1">
  <x:autoFilter ref="A2:J86"/>
  <x:tableColumns count="10">
    <x:tableColumn id="1" name="Участник"/>
    <x:tableColumn id="2" name="Команда участника"/>
    <x:tableColumn id="3" name="Позиция"/>
    <x:tableColumn id="4" name="Слот"/>
    <x:tableColumn id="5" name="Игрок"/>
    <x:tableColumn id="6" name="Клуб"/>
    <x:tableColumn id="7" name="Очки за последний тур"/>
    <x:tableColumn id="8" name="Итого участника"/>
    <x:tableColumn id="9" name="Раунд"/>
    <x:tableColumn id="10" name="Срез по"/>
  </x:tableColumns>
  <x:tableStyleInfo name="TableStyleMedium7" showRowStripes="1"/>
</x:table>
</file>

<file path=xl/tables/table5.xml><?xml version="1.0" encoding="utf-8"?>
<x:table xmlns:x="http://schemas.openxmlformats.org/spreadsheetml/2006/main" id="5" name="PlayersTable" displayName="PlayersTable" ref="A2:F58" headerRowCount="1">
  <x:autoFilter ref="A2:F58"/>
  <x:tableColumns count="6">
    <x:tableColumn id="1" name="Игрок"/>
    <x:tableColumn id="2" name="Клуб"/>
    <x:tableColumn id="3" name="Выборов в регулярке"/>
    <x:tableColumn id="4" name="Выборов в плей-офф"/>
    <x:tableColumn id="5" name="Всего выборов"/>
    <x:tableColumn id="6" name="Тип частоты"/>
  </x:tableColumns>
  <x:tableStyleInfo name="TableStyleMedium3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0b16ce89bec4c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12db018a274b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1.xml" Id="R22188b0cfa7c4103" /><Relationship Type="http://schemas.openxmlformats.org/officeDocument/2006/relationships/vmlDrawing" Target="/xl/drawings/vmldrawing.vml" Id="R0154c25d54eb478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2.xml" Id="R3695230a01804f7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3.xml" Id="R9d4de26c5da64d1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4.xml" Id="R4ace3adab9ee4ce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5.xml" Id="R1331cfa896b444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8" customWidth="1"/>
    <x:col min="4" max="4" width="11" customWidth="1"/>
    <x:col min="5" max="5" width="12" customWidth="1"/>
    <x:col min="6" max="6" width="8" customWidth="1"/>
    <x:col min="7" max="7" width="12" customWidth="1"/>
    <x:col min="8" max="8" width="12" customWidth="1"/>
    <x:col min="9" max="9" width="8" customWidth="1"/>
    <x:col min="10" max="10" width="9" customWidth="1"/>
    <x:col min="11" max="11" width="4" customWidth="1"/>
  </x:cols>
  <x:sheetData>
    <x:row r="1" ht="24" customHeight="1">
      <x:c r="A1" s="54" t="inlineStr">
        <x:is>
          <x:t xml:space="preserve">КосмоФентези — дашборд V3</x:t>
        </x:is>
      </x:c>
    </x:row>
    <x:row r="2">
      <x:c r="A2" s="56" t="inlineStr">
        <x:is>
          <x:t xml:space="preserve">Можно вносить данные двумя способами: InputTours (по участнику) или InputPlayers (по игрокам). Общий рейтинг собирается автоматически.</x:t>
        </x:is>
      </x:c>
    </x:row>
    <x:row r="3">
      <x:c r="A3" s="55" t="n"/>
      <x:c r="B3" s="55" t="n"/>
      <x:c r="C3" s="55" t="n"/>
      <x:c r="D3" s="55" t="n"/>
      <x:c r="E3" s="55" t="n"/>
      <x:c r="F3" s="55" t="n"/>
      <x:c r="G3" s="55" t="n"/>
      <x:c r="H3" s="55" t="n"/>
      <x:c r="I3" s="55" t="n"/>
      <x:c r="J3" s="55" t="n"/>
      <x:c r="K3" s="55" t="n"/>
    </x:row>
    <x:row r="4">
      <x:c r="A4" s="28" t="inlineStr">
        <x:is>
          <x:t xml:space="preserve">Лидер рег.</x:t>
        </x:is>
      </x:c>
      <x:c r="B4" s="28" t="inlineStr">
        <x:is>
          <x:t xml:space="preserve">Значение</x:t>
        </x:is>
      </x:c>
      <x:c r="C4" s="28" t="inlineStr">
        <x:is>
          <x:t xml:space="preserve">Очки</x:t>
        </x:is>
      </x:c>
      <x:c r="D4" s="28" t="inlineStr">
        <x:is>
          <x:t xml:space="preserve">Лидер ПО</x:t>
        </x:is>
      </x:c>
      <x:c r="E4" s="28" t="inlineStr">
        <x:is>
          <x:t xml:space="preserve">Значение</x:t>
        </x:is>
      </x:c>
      <x:c r="F4" s="28" t="inlineStr">
        <x:is>
          <x:t xml:space="preserve">Очки</x:t>
        </x:is>
      </x:c>
      <x:c r="G4" s="28" t="inlineStr">
        <x:is>
          <x:t xml:space="preserve">Общий лидер</x:t>
        </x:is>
      </x:c>
      <x:c r="H4" s="28" t="inlineStr">
        <x:is>
          <x:t xml:space="preserve">Значение</x:t>
        </x:is>
      </x:c>
      <x:c r="I4" s="28" t="inlineStr">
        <x:is>
          <x:t xml:space="preserve">Очки</x:t>
        </x:is>
      </x:c>
      <x:c r="J4" s="28" t="inlineStr">
        <x:is>
          <x:t xml:space="preserve">Строк игрок.</x:t>
        </x:is>
      </x:c>
      <x:c r="K4" s="28" t="inlineStr">
        <x:is>
          <x:t xml:space="preserve">Туров детально</x:t>
        </x:is>
      </x:c>
    </x:row>
    <x:row r="5">
      <x:c r="A5" s="29" t="inlineStr">
        <x:is>
          <x:t xml:space="preserve">Лидер регулярки</x:t>
        </x:is>
      </x:c>
      <x:c r="B5" s="30" t="str">
        <x:f>INDEX(Participants!$B$5:$B$18,MATCH(C5,Participants!$C$5:$C$18,0))</x:f>
        <x:v>Жека</x:v>
      </x:c>
      <x:c r="C5" s="30">
        <x:f>MAX(Participants!$C$5:$C$18)</x:f>
        <x:v>87</x:v>
      </x:c>
      <x:c r="D5" s="29" t="inlineStr">
        <x:is>
          <x:t xml:space="preserve">Лидер плей-офф</x:t>
        </x:is>
      </x:c>
      <x:c r="E5" s="30" t="str">
        <x:f>INDEX(Participants!$B$5:$B$18,MATCH(F5,Participants!$D$5:$D$18,0))</x:f>
        <x:v>Лерка</x:v>
      </x:c>
      <x:c r="F5" s="30">
        <x:f>MAX(Participants!$D$5:$D$18)</x:f>
        <x:v>59</x:v>
      </x:c>
      <x:c r="G5" s="29" t="inlineStr">
        <x:is>
          <x:t xml:space="preserve">Общий лидер</x:t>
        </x:is>
      </x:c>
      <x:c r="H5" s="30" t="str">
        <x:f>INDEX(Participants!$B$5:$B$18,MATCH(I5,Participants!$E$5:$E$18,0))</x:f>
        <x:v>Жека</x:v>
      </x:c>
      <x:c r="I5" s="30">
        <x:f>MAX(Participants!$E$5:$E$18)</x:f>
        <x:v>143</x:v>
      </x:c>
      <x:c r="J5" s="30">
        <x:f>COUNTA(InputPlayers!$F$6:$F$305)</x:f>
        <x:v>0</x:v>
      </x:c>
      <x:c r="K5">
        <x:f>COUNTA(RoundSummary!$G$5:$G$304)</x:f>
        <x:v>300</x:v>
      </x:c>
    </x:row>
    <x:row r="8">
      <x:c r="A8" s="28" t="inlineStr">
        <x:is>
          <x:t xml:space="preserve">Место</x:t>
        </x:is>
      </x:c>
      <x:c r="B8" s="28" t="inlineStr">
        <x:is>
          <x:t xml:space="preserve">Участник</x:t>
        </x:is>
      </x:c>
      <x:c r="C8" s="28" t="inlineStr">
        <x:is>
          <x:t xml:space="preserve">Регулярка</x:t>
        </x:is>
      </x:c>
      <x:c r="D8" s="28" t="inlineStr">
        <x:is>
          <x:t xml:space="preserve">Плей-ин/ПО</x:t>
        </x:is>
      </x:c>
      <x:c r="E8" s="28" t="inlineStr">
        <x:is>
          <x:t xml:space="preserve">Всего</x:t>
        </x:is>
      </x:c>
      <x:c r="F8" s="28" t="inlineStr">
        <x:is>
          <x:t xml:space="preserve">Место рег.</x:t>
        </x:is>
      </x:c>
      <x:c r="G8" s="28" t="inlineStr">
        <x:is>
          <x:t xml:space="preserve">Место ПО</x:t>
        </x:is>
      </x:c>
      <x:c r="H8" s="28" t="inlineStr">
        <x:is>
          <x:t xml:space="preserve">Туров добавлено</x:t>
        </x:is>
      </x:c>
    </x:row>
    <x:row r="9">
      <x:c r="A9" s="31" t="n">
        <x:v>1</x:v>
      </x:c>
      <x:c r="B9" s="32" t="str">
        <x:f>INDEX(Participants!$B$5:$B$18,MATCH(A9,Participants!$A$5:$A$18,0))</x:f>
        <x:v>Жека</x:v>
      </x:c>
      <x:c r="C9" s="32">
        <x:f>INDEX(Participants!$C$5:$C$18,MATCH(A9,Participants!$A$5:$A$18,0))</x:f>
        <x:v>87</x:v>
      </x:c>
      <x:c r="D9" s="32">
        <x:f>INDEX(Participants!$D$5:$D$18,MATCH(A9,Participants!$A$5:$A$18,0))</x:f>
        <x:v>56</x:v>
      </x:c>
      <x:c r="E9" s="33">
        <x:f>INDEX(Participants!$E$5:$E$18,MATCH(A9,Participants!$A$5:$A$18,0))</x:f>
        <x:v>143</x:v>
      </x:c>
      <x:c r="F9" s="32">
        <x:f>INDEX(Participants!$F$5:$F$18,MATCH(A9,Participants!$A$5:$A$18,0))</x:f>
        <x:v>1</x:v>
      </x:c>
      <x:c r="G9" s="32">
        <x:f>INDEX(Participants!$G$5:$G$18,MATCH(A9,Participants!$A$5:$A$18,0))</x:f>
        <x:v>2</x:v>
      </x:c>
      <x:c r="H9" s="32">
        <x:f>INDEX(Participants!$H$5:$H$18,MATCH(A9,Participants!$A$5:$A$18,0))</x:f>
        <x:v>0</x:v>
      </x:c>
    </x:row>
    <x:row r="10">
      <x:c r="A10" s="31" t="n">
        <x:v>2</x:v>
      </x:c>
      <x:c r="B10" s="32" t="str">
        <x:f>INDEX(Participants!$B$5:$B$18,MATCH(A10,Participants!$A$5:$A$18,0))</x:f>
        <x:v>Лерка</x:v>
      </x:c>
      <x:c r="C10" s="32">
        <x:f>INDEX(Participants!$C$5:$C$18,MATCH(A10,Participants!$A$5:$A$18,0))</x:f>
        <x:v>83</x:v>
      </x:c>
      <x:c r="D10" s="32">
        <x:f>INDEX(Participants!$D$5:$D$18,MATCH(A10,Participants!$A$5:$A$18,0))</x:f>
        <x:v>59</x:v>
      </x:c>
      <x:c r="E10" s="33">
        <x:f>INDEX(Participants!$E$5:$E$18,MATCH(A10,Participants!$A$5:$A$18,0))</x:f>
        <x:v>142</x:v>
      </x:c>
      <x:c r="F10" s="32">
        <x:f>INDEX(Participants!$F$5:$F$18,MATCH(A10,Participants!$A$5:$A$18,0))</x:f>
        <x:v>3</x:v>
      </x:c>
      <x:c r="G10" s="32">
        <x:f>INDEX(Participants!$G$5:$G$18,MATCH(A10,Participants!$A$5:$A$18,0))</x:f>
        <x:v>1</x:v>
      </x:c>
      <x:c r="H10" s="32">
        <x:f>INDEX(Participants!$H$5:$H$18,MATCH(A10,Participants!$A$5:$A$18,0))</x:f>
        <x:v>0</x:v>
      </x:c>
    </x:row>
    <x:row r="11">
      <x:c r="A11" s="31" t="n">
        <x:v>3</x:v>
      </x:c>
      <x:c r="B11" s="32" t="str">
        <x:f>INDEX(Participants!$B$5:$B$18,MATCH(A11,Participants!$A$5:$A$18,0))</x:f>
        <x:v>Катюша</x:v>
      </x:c>
      <x:c r="C11" s="32">
        <x:f>INDEX(Participants!$C$5:$C$18,MATCH(A11,Participants!$A$5:$A$18,0))</x:f>
        <x:v>80</x:v>
      </x:c>
      <x:c r="D11" s="32">
        <x:f>INDEX(Participants!$D$5:$D$18,MATCH(A11,Participants!$A$5:$A$18,0))</x:f>
        <x:v>51</x:v>
      </x:c>
      <x:c r="E11" s="33">
        <x:f>INDEX(Participants!$E$5:$E$18,MATCH(A11,Participants!$A$5:$A$18,0))</x:f>
        <x:v>131</x:v>
      </x:c>
      <x:c r="F11" s="32">
        <x:f>INDEX(Participants!$F$5:$F$18,MATCH(A11,Participants!$A$5:$A$18,0))</x:f>
        <x:v>4</x:v>
      </x:c>
      <x:c r="G11" s="32">
        <x:f>INDEX(Participants!$G$5:$G$18,MATCH(A11,Participants!$A$5:$A$18,0))</x:f>
        <x:v>5</x:v>
      </x:c>
      <x:c r="H11" s="32">
        <x:f>INDEX(Participants!$H$5:$H$18,MATCH(A11,Participants!$A$5:$A$18,0))</x:f>
        <x:v>0</x:v>
      </x:c>
    </x:row>
    <x:row r="12">
      <x:c r="A12" s="31" t="n">
        <x:v>4</x:v>
      </x:c>
      <x:c r="B12" s="32" t="str">
        <x:f>INDEX(Participants!$B$5:$B$18,MATCH(A12,Participants!$A$5:$A$18,0))</x:f>
        <x:v>Алексей</x:v>
      </x:c>
      <x:c r="C12" s="32">
        <x:f>INDEX(Participants!$C$5:$C$18,MATCH(A12,Participants!$A$5:$A$18,0))</x:f>
        <x:v>86</x:v>
      </x:c>
      <x:c r="D12" s="32">
        <x:f>INDEX(Participants!$D$5:$D$18,MATCH(A12,Participants!$A$5:$A$18,0))</x:f>
        <x:v>45</x:v>
      </x:c>
      <x:c r="E12" s="33">
        <x:f>INDEX(Participants!$E$5:$E$18,MATCH(A12,Participants!$A$5:$A$18,0))</x:f>
        <x:v>131</x:v>
      </x:c>
      <x:c r="F12" s="32">
        <x:f>INDEX(Participants!$F$5:$F$18,MATCH(A12,Participants!$A$5:$A$18,0))</x:f>
        <x:v>2</x:v>
      </x:c>
      <x:c r="G12" s="32">
        <x:f>INDEX(Participants!$G$5:$G$18,MATCH(A12,Participants!$A$5:$A$18,0))</x:f>
        <x:v>8</x:v>
      </x:c>
      <x:c r="H12" s="32">
        <x:f>INDEX(Participants!$H$5:$H$18,MATCH(A12,Participants!$A$5:$A$18,0))</x:f>
        <x:v>0</x:v>
      </x:c>
    </x:row>
    <x:row r="13">
      <x:c r="A13" s="31" t="n">
        <x:v>5</x:v>
      </x:c>
      <x:c r="B13" s="32" t="str">
        <x:f>INDEX(Participants!$B$5:$B$18,MATCH(A13,Participants!$A$5:$A$18,0))</x:f>
        <x:v>КатяБет</x:v>
      </x:c>
      <x:c r="C13" s="32">
        <x:f>INDEX(Participants!$C$5:$C$18,MATCH(A13,Participants!$A$5:$A$18,0))</x:f>
        <x:v>77</x:v>
      </x:c>
      <x:c r="D13" s="32">
        <x:f>INDEX(Participants!$D$5:$D$18,MATCH(A13,Participants!$A$5:$A$18,0))</x:f>
        <x:v>46</x:v>
      </x:c>
      <x:c r="E13" s="33">
        <x:f>INDEX(Participants!$E$5:$E$18,MATCH(A13,Participants!$A$5:$A$18,0))</x:f>
        <x:v>123</x:v>
      </x:c>
      <x:c r="F13" s="32">
        <x:f>INDEX(Participants!$F$5:$F$18,MATCH(A13,Participants!$A$5:$A$18,0))</x:f>
        <x:v>5</x:v>
      </x:c>
      <x:c r="G13" s="32">
        <x:f>INDEX(Participants!$G$5:$G$18,MATCH(A13,Participants!$A$5:$A$18,0))</x:f>
        <x:v>6</x:v>
      </x:c>
      <x:c r="H13" s="32">
        <x:f>INDEX(Participants!$H$5:$H$18,MATCH(A13,Participants!$A$5:$A$18,0))</x:f>
        <x:v>0</x:v>
      </x:c>
    </x:row>
    <x:row r="14">
      <x:c r="A14" s="57" t="inlineStr">
        <x:is>
          <x:t xml:space="preserve">ТОП-5</x:t>
        </x:is>
      </x:c>
      <x:c r="B14" s="57" t="inlineStr">
        <x:is>
          <x:t xml:space="preserve">Участник</x:t>
        </x:is>
      </x:c>
      <x:c r="C14" s="57" t="inlineStr">
        <x:is>
          <x:t xml:space="preserve">Всего</x:t>
        </x:is>
      </x:c>
      <x:c r="D14" s="32" t="e">
        <x:f>INDEX(Participants!$D$5:$D$18,MATCH(A14,Participants!$A$5:$A$18,0))</x:f>
      </x:c>
      <x:c r="E14" s="33" t="e">
        <x:f>INDEX(Participants!$E$5:$E$18,MATCH(A14,Participants!$A$5:$A$18,0))</x:f>
      </x:c>
      <x:c r="F14" s="32" t="e">
        <x:f>INDEX(Participants!$F$5:$F$18,MATCH(A14,Participants!$A$5:$A$18,0))</x:f>
      </x:c>
      <x:c r="G14" s="32" t="e">
        <x:f>INDEX(Participants!$G$5:$G$18,MATCH(A14,Participants!$A$5:$A$18,0))</x:f>
      </x:c>
      <x:c r="H14" s="32" t="e">
        <x:f>INDEX(Participants!$H$5:$H$18,MATCH(A14,Participants!$A$5:$A$18,0))</x:f>
      </x:c>
    </x:row>
    <x:row r="15">
      <x:c r="A15" s="31" t="n">
        <x:v>1</x:v>
      </x:c>
      <x:c r="B15" s="32" t="str">
        <x:f>INDEX(Participants!$B$5:$B$18,MATCH(LARGE(Participants!$E$5:$E$18,1),Participants!$E$5:$E$18,0))</x:f>
        <x:v>Жека</x:v>
      </x:c>
      <x:c r="C15" s="32">
        <x:f>LARGE(Participants!$E$5:$E$18,1)</x:f>
        <x:v>143</x:v>
      </x:c>
      <x:c r="D15" s="32">
        <x:f>INDEX(Participants!$D$5:$D$18,MATCH(A15,Participants!$A$5:$A$18,0))</x:f>
        <x:v>56</x:v>
      </x:c>
      <x:c r="E15" s="33">
        <x:f>INDEX(Participants!$E$5:$E$18,MATCH(A15,Participants!$A$5:$A$18,0))</x:f>
        <x:v>143</x:v>
      </x:c>
      <x:c r="F15" s="32">
        <x:f>INDEX(Participants!$F$5:$F$18,MATCH(A15,Participants!$A$5:$A$18,0))</x:f>
        <x:v>1</x:v>
      </x:c>
      <x:c r="G15" s="32">
        <x:f>INDEX(Participants!$G$5:$G$18,MATCH(A15,Participants!$A$5:$A$18,0))</x:f>
        <x:v>2</x:v>
      </x:c>
      <x:c r="H15" s="32">
        <x:f>INDEX(Participants!$H$5:$H$18,MATCH(A15,Participants!$A$5:$A$18,0))</x:f>
        <x:v>0</x:v>
      </x:c>
    </x:row>
    <x:row r="16">
      <x:c r="A16" s="31" t="n">
        <x:v>2</x:v>
      </x:c>
      <x:c r="B16" s="32" t="str">
        <x:f>INDEX(Participants!$B$5:$B$18,MATCH(LARGE(Participants!$E$5:$E$18,2),Participants!$E$5:$E$18,0))</x:f>
        <x:v>Лерка</x:v>
      </x:c>
      <x:c r="C16" s="32">
        <x:f>LARGE(Participants!$E$5:$E$18,2)</x:f>
        <x:v>142</x:v>
      </x:c>
      <x:c r="D16" s="32">
        <x:f>INDEX(Participants!$D$5:$D$18,MATCH(A16,Participants!$A$5:$A$18,0))</x:f>
        <x:v>59</x:v>
      </x:c>
      <x:c r="E16" s="33">
        <x:f>INDEX(Participants!$E$5:$E$18,MATCH(A16,Participants!$A$5:$A$18,0))</x:f>
        <x:v>142</x:v>
      </x:c>
      <x:c r="F16" s="32">
        <x:f>INDEX(Participants!$F$5:$F$18,MATCH(A16,Participants!$A$5:$A$18,0))</x:f>
        <x:v>3</x:v>
      </x:c>
      <x:c r="G16" s="32">
        <x:f>INDEX(Participants!$G$5:$G$18,MATCH(A16,Participants!$A$5:$A$18,0))</x:f>
        <x:v>1</x:v>
      </x:c>
      <x:c r="H16" s="32">
        <x:f>INDEX(Participants!$H$5:$H$18,MATCH(A16,Participants!$A$5:$A$18,0))</x:f>
        <x:v>0</x:v>
      </x:c>
    </x:row>
    <x:row r="17">
      <x:c r="A17" s="31" t="n">
        <x:v>3</x:v>
      </x:c>
      <x:c r="B17" s="32" t="str">
        <x:f>INDEX(Participants!$B$5:$B$18,MATCH(LARGE(Participants!$E$5:$E$18,3),Participants!$E$5:$E$18,0))</x:f>
        <x:v>Катюша</x:v>
      </x:c>
      <x:c r="C17" s="32">
        <x:f>LARGE(Participants!$E$5:$E$18,3)</x:f>
        <x:v>131</x:v>
      </x:c>
      <x:c r="D17" s="32">
        <x:f>INDEX(Participants!$D$5:$D$18,MATCH(A17,Participants!$A$5:$A$18,0))</x:f>
        <x:v>51</x:v>
      </x:c>
      <x:c r="E17" s="33">
        <x:f>INDEX(Participants!$E$5:$E$18,MATCH(A17,Participants!$A$5:$A$18,0))</x:f>
        <x:v>131</x:v>
      </x:c>
      <x:c r="F17" s="32">
        <x:f>INDEX(Participants!$F$5:$F$18,MATCH(A17,Participants!$A$5:$A$18,0))</x:f>
        <x:v>4</x:v>
      </x:c>
      <x:c r="G17" s="32">
        <x:f>INDEX(Participants!$G$5:$G$18,MATCH(A17,Participants!$A$5:$A$18,0))</x:f>
        <x:v>5</x:v>
      </x:c>
      <x:c r="H17" s="32">
        <x:f>INDEX(Participants!$H$5:$H$18,MATCH(A17,Participants!$A$5:$A$18,0))</x:f>
        <x:v>0</x:v>
      </x:c>
    </x:row>
    <x:row r="18">
      <x:c r="A18" s="31" t="n">
        <x:v>4</x:v>
      </x:c>
      <x:c r="B18" s="32" t="str">
        <x:f>INDEX(Participants!$B$5:$B$18,MATCH(LARGE(Participants!$E$5:$E$18,4),Participants!$E$5:$E$18,0))</x:f>
        <x:v>Катюша</x:v>
      </x:c>
      <x:c r="C18" s="32">
        <x:f>LARGE(Participants!$E$5:$E$18,4)</x:f>
        <x:v>131</x:v>
      </x:c>
      <x:c r="D18" s="32">
        <x:f>INDEX(Participants!$D$5:$D$18,MATCH(A18,Participants!$A$5:$A$18,0))</x:f>
        <x:v>45</x:v>
      </x:c>
      <x:c r="E18" s="33">
        <x:f>INDEX(Participants!$E$5:$E$18,MATCH(A18,Participants!$A$5:$A$18,0))</x:f>
        <x:v>131</x:v>
      </x:c>
      <x:c r="F18" s="32">
        <x:f>INDEX(Participants!$F$5:$F$18,MATCH(A18,Participants!$A$5:$A$18,0))</x:f>
        <x:v>2</x:v>
      </x:c>
      <x:c r="G18" s="32">
        <x:f>INDEX(Participants!$G$5:$G$18,MATCH(A18,Participants!$A$5:$A$18,0))</x:f>
        <x:v>8</x:v>
      </x:c>
      <x:c r="H18" s="32">
        <x:f>INDEX(Participants!$H$5:$H$18,MATCH(A18,Participants!$A$5:$A$18,0))</x:f>
        <x:v>0</x:v>
      </x:c>
    </x:row>
    <x:row r="19">
      <x:c r="A19" s="31" t="n">
        <x:v>5</x:v>
      </x:c>
      <x:c r="B19" s="32" t="str">
        <x:f>INDEX(Participants!$B$5:$B$18,MATCH(LARGE(Participants!$E$5:$E$18,5),Participants!$E$5:$E$18,0))</x:f>
        <x:v>КатяБет</x:v>
      </x:c>
      <x:c r="C19" s="32">
        <x:f>LARGE(Participants!$E$5:$E$18,5)</x:f>
        <x:v>123</x:v>
      </x:c>
      <x:c r="D19" s="32">
        <x:f>INDEX(Participants!$D$5:$D$18,MATCH(A19,Participants!$A$5:$A$18,0))</x:f>
        <x:v>46</x:v>
      </x:c>
      <x:c r="E19" s="33">
        <x:f>INDEX(Participants!$E$5:$E$18,MATCH(A19,Participants!$A$5:$A$18,0))</x:f>
        <x:v>123</x:v>
      </x:c>
      <x:c r="F19" s="32">
        <x:f>INDEX(Participants!$F$5:$F$18,MATCH(A19,Participants!$A$5:$A$18,0))</x:f>
        <x:v>5</x:v>
      </x:c>
      <x:c r="G19" s="32">
        <x:f>INDEX(Participants!$G$5:$G$18,MATCH(A19,Participants!$A$5:$A$18,0))</x:f>
        <x:v>6</x:v>
      </x:c>
      <x:c r="H19" s="32">
        <x:f>INDEX(Participants!$H$5:$H$18,MATCH(A19,Participants!$A$5:$A$18,0))</x:f>
        <x:v>0</x:v>
      </x:c>
    </x:row>
    <x:row r="20">
      <x:c r="A20" s="31" t="n">
        <x:v>12</x:v>
      </x:c>
      <x:c r="B20" s="32" t="str">
        <x:f>INDEX(Participants!$B$5:$B$18,MATCH(A20,Participants!$A$5:$A$18,0))</x:f>
        <x:v>Андрей</x:v>
      </x:c>
      <x:c r="C20" s="32">
        <x:f>INDEX(Participants!$C$5:$C$18,MATCH(A20,Participants!$A$5:$A$18,0))</x:f>
        <x:v>62</x:v>
      </x:c>
      <x:c r="D20" s="32">
        <x:f>INDEX(Participants!$D$5:$D$18,MATCH(A20,Participants!$A$5:$A$18,0))</x:f>
        <x:v>16</x:v>
      </x:c>
      <x:c r="E20" s="33">
        <x:f>INDEX(Participants!$E$5:$E$18,MATCH(A20,Participants!$A$5:$A$18,0))</x:f>
        <x:v>78</x:v>
      </x:c>
      <x:c r="F20" s="32">
        <x:f>INDEX(Participants!$F$5:$F$18,MATCH(A20,Participants!$A$5:$A$18,0))</x:f>
        <x:v>10</x:v>
      </x:c>
      <x:c r="G20" s="32">
        <x:f>INDEX(Participants!$G$5:$G$18,MATCH(A20,Participants!$A$5:$A$18,0))</x:f>
        <x:v>13</x:v>
      </x:c>
      <x:c r="H20" s="32">
        <x:f>INDEX(Participants!$H$5:$H$18,MATCH(A20,Participants!$A$5:$A$18,0))</x:f>
        <x:v>0</x:v>
      </x:c>
    </x:row>
    <x:row r="21">
      <x:c r="A21" s="31" t="n">
        <x:v>13</x:v>
      </x:c>
      <x:c r="B21" s="32" t="str">
        <x:f>INDEX(Participants!$B$5:$B$18,MATCH(A21,Participants!$A$5:$A$18,0))</x:f>
        <x:v>Валера Волович</x:v>
      </x:c>
      <x:c r="C21" s="32">
        <x:f>INDEX(Participants!$C$5:$C$18,MATCH(A21,Participants!$A$5:$A$18,0))</x:f>
        <x:v>60</x:v>
      </x:c>
      <x:c r="D21" s="32">
        <x:f>INDEX(Participants!$D$5:$D$18,MATCH(A21,Participants!$A$5:$A$18,0))</x:f>
        <x:v>10</x:v>
      </x:c>
      <x:c r="E21" s="33">
        <x:f>INDEX(Participants!$E$5:$E$18,MATCH(A21,Participants!$A$5:$A$18,0))</x:f>
        <x:v>70</x:v>
      </x:c>
      <x:c r="F21" s="32">
        <x:f>INDEX(Participants!$F$5:$F$18,MATCH(A21,Participants!$A$5:$A$18,0))</x:f>
        <x:v>11</x:v>
      </x:c>
      <x:c r="G21" s="32">
        <x:f>INDEX(Participants!$G$5:$G$18,MATCH(A21,Participants!$A$5:$A$18,0))</x:f>
        <x:v>14</x:v>
      </x:c>
      <x:c r="H21" s="32">
        <x:f>INDEX(Participants!$H$5:$H$18,MATCH(A21,Participants!$A$5:$A$18,0))</x:f>
        <x:v>0</x:v>
      </x:c>
    </x:row>
    <x:row r="22">
      <x:c r="A22" s="31" t="n">
        <x:v>14</x:v>
      </x:c>
      <x:c r="B22" s="32" t="str">
        <x:f>INDEX(Participants!$B$5:$B$18,MATCH(A22,Participants!$A$5:$A$18,0))</x:f>
        <x:v>Александр Свиридов</x:v>
      </x:c>
      <x:c r="C22" s="32">
        <x:f>INDEX(Participants!$C$5:$C$18,MATCH(A22,Participants!$A$5:$A$18,0))</x:f>
        <x:v>37</x:v>
      </x:c>
      <x:c r="D22" s="32">
        <x:f>INDEX(Participants!$D$5:$D$18,MATCH(A22,Participants!$A$5:$A$18,0))</x:f>
        <x:v>21</x:v>
      </x:c>
      <x:c r="E22" s="33">
        <x:f>INDEX(Participants!$E$5:$E$18,MATCH(A22,Participants!$A$5:$A$18,0))</x:f>
        <x:v>58</x:v>
      </x:c>
      <x:c r="F22" s="32">
        <x:f>INDEX(Participants!$F$5:$F$18,MATCH(A22,Participants!$A$5:$A$18,0))</x:f>
        <x:v>14</x:v>
      </x:c>
      <x:c r="G22" s="32">
        <x:f>INDEX(Participants!$G$5:$G$18,MATCH(A22,Participants!$A$5:$A$18,0))</x:f>
        <x:v>11</x:v>
      </x:c>
      <x:c r="H22" s="32">
        <x:f>INDEX(Participants!$H$5:$H$18,MATCH(A22,Participants!$A$5:$A$18,0))</x:f>
        <x:v>0</x:v>
      </x:c>
    </x:row>
  </x:sheetData>
  <x:mergeCells>
    <x:mergeCell ref="A2:K2"/>
    <x:mergeCell ref="A1:K1"/>
  </x:mergeCells>
  <x:conditionalFormatting sqref="A9:H22">
    <x:cfRule type="expression" dxfId="0" priority="1">
      <x:formula>$A9=1</x:formula>
    </x:cfRule>
    <x:cfRule type="expression" dxfId="1" priority="2">
      <x:formula>$A9=2</x:formula>
    </x:cfRule>
    <x:cfRule type="expression" dxfId="2" priority="3">
      <x:formula>$A9=3</x:formula>
    </x:cfRule>
  </x:conditionalFormatting>
  <x:conditionalFormatting sqref="E9:E22">
    <x:cfRule type="colorScale" priority="4">
      <x:colorScale>
        <x:cfvo type="min"/>
        <x:cfvo type="percentile" val="50"/>
        <x:cfvo type="max"/>
        <x:color rgb="00FDEDEC"/>
        <x:color rgb="00FFF2CC"/>
        <x:color rgb="00E2F0D9"/>
      </x:colorScale>
    </x:cfRule>
  </x:conditionalFormatting>
  <x:pageMargins left="0.7" right="0.7" top="0.75" bottom="0.75" header="0.3" footer="0.3"/>
  <x:drawing xmlns:r="http://schemas.openxmlformats.org/officeDocument/2006/relationships" r:id="Rf0b16ce89bec4c72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8" customWidth="1"/>
    <x:col min="3" max="3" width="14" customWidth="1"/>
    <x:col min="4" max="4" width="10" customWidth="1"/>
    <x:col min="5" max="5" width="55" customWidth="1"/>
  </x:cols>
  <x:sheetData>
    <x:row r="1">
      <x:c r="A1" s="65" t="inlineStr">
        <x:is>
          <x:t xml:space="preserve">Общий пул хоккеистов Betera-Экстралиги 2025/26</x:t>
        </x:is>
      </x:c>
      <x:c r="B1" s="65" t="n"/>
      <x:c r="C1" s="65" t="n"/>
      <x:c r="D1" s="65" t="n"/>
      <x:c r="E1" s="65" t="n"/>
    </x:row>
    <x:row r="2">
      <x:c r="A2" s="2" t="inlineStr">
        <x:is>
          <x:t xml:space="preserve">Лист подготовлен для общего выбора игроков в таблице и Telegram-боте.</x:t>
        </x:is>
      </x:c>
    </x:row>
    <x:row r="3">
      <x:c r="A3" s="2" t="inlineStr">
        <x:is>
          <x:t xml:space="preserve">Источник по каждой команде указан в столбце E. Пул дополнительно доведен по клубным ростерам 2025/26 там, где в прошлой версии были пропуски.</x:t>
        </x:is>
      </x:c>
    </x:row>
    <x:row r="5">
      <x:c r="A5" s="66" t="inlineStr">
        <x:is>
          <x:t xml:space="preserve">Игрок</x:t>
        </x:is>
      </x:c>
      <x:c r="B5" s="66" t="inlineStr">
        <x:is>
          <x:t xml:space="preserve">Клуб</x:t>
        </x:is>
      </x:c>
      <x:c r="C5" s="66" t="inlineStr">
        <x:is>
          <x:t xml:space="preserve">Позиция</x:t>
        </x:is>
      </x:c>
      <x:c r="D5" s="66" t="inlineStr">
        <x:is>
          <x:t xml:space="preserve">Активен</x:t>
        </x:is>
      </x:c>
      <x:c r="E5" s="66" t="inlineStr">
        <x:is>
          <x:t xml:space="preserve">Источник</x:t>
        </x:is>
      </x:c>
    </x:row>
    <x:row r="6">
      <x:c r="A6" s="67" t="inlineStr">
        <x:is>
          <x:t xml:space="preserve">Киверов Никита</x:t>
        </x:is>
      </x:c>
      <x:c r="B6" s="67" t="inlineStr">
        <x:is>
          <x:t xml:space="preserve">Авиатор</x:t>
        </x:is>
      </x:c>
      <x:c r="C6" s="67" t="inlineStr">
        <x:is>
          <x:t xml:space="preserve">Вратарь</x:t>
        </x:is>
      </x:c>
      <x:c r="D6" s="67" t="inlineStr">
        <x:is>
          <x:t xml:space="preserve">Да</x:t>
        </x:is>
      </x:c>
      <x:c r="E6" s="67" t="inlineStr">
        <x:is>
          <x:t xml:space="preserve">https://r-hockey.ru/team/15102-Aviator/roster/2025/24932</x:t>
        </x:is>
      </x:c>
    </x:row>
    <x:row r="7">
      <x:c r="A7" s="67" t="inlineStr">
        <x:is>
          <x:t xml:space="preserve">Лущик Иван</x:t>
        </x:is>
      </x:c>
      <x:c r="B7" s="67" t="inlineStr">
        <x:is>
          <x:t xml:space="preserve">Авиатор</x:t>
        </x:is>
      </x:c>
      <x:c r="C7" s="67" t="inlineStr">
        <x:is>
          <x:t xml:space="preserve">Вратарь</x:t>
        </x:is>
      </x:c>
      <x:c r="D7" s="67" t="inlineStr">
        <x:is>
          <x:t xml:space="preserve">Да</x:t>
        </x:is>
      </x:c>
      <x:c r="E7" s="67" t="inlineStr">
        <x:is>
          <x:t xml:space="preserve">https://r-hockey.ru/team/15102-Aviator/roster/2025/24932</x:t>
        </x:is>
      </x:c>
    </x:row>
    <x:row r="8">
      <x:c r="A8" s="67" t="inlineStr">
        <x:is>
          <x:t xml:space="preserve">Шелесный Павел</x:t>
        </x:is>
      </x:c>
      <x:c r="B8" s="67" t="inlineStr">
        <x:is>
          <x:t xml:space="preserve">Авиатор</x:t>
        </x:is>
      </x:c>
      <x:c r="C8" s="67" t="inlineStr">
        <x:is>
          <x:t xml:space="preserve">Вратарь</x:t>
        </x:is>
      </x:c>
      <x:c r="D8" s="67" t="inlineStr">
        <x:is>
          <x:t xml:space="preserve">Да</x:t>
        </x:is>
      </x:c>
      <x:c r="E8" s="67" t="inlineStr">
        <x:is>
          <x:t xml:space="preserve">https://r-hockey.ru/team/15102-Aviator/roster/2025/24932</x:t>
        </x:is>
      </x:c>
    </x:row>
    <x:row r="9">
      <x:c r="A9" s="67" t="inlineStr">
        <x:is>
          <x:t xml:space="preserve">Анищенко Владислав</x:t>
        </x:is>
      </x:c>
      <x:c r="B9" s="67" t="inlineStr">
        <x:is>
          <x:t xml:space="preserve">Авиатор</x:t>
        </x:is>
      </x:c>
      <x:c r="C9" s="67" t="inlineStr">
        <x:is>
          <x:t xml:space="preserve">Защитник</x:t>
        </x:is>
      </x:c>
      <x:c r="D9" s="67" t="inlineStr">
        <x:is>
          <x:t xml:space="preserve">Да</x:t>
        </x:is>
      </x:c>
      <x:c r="E9" s="67" t="inlineStr">
        <x:is>
          <x:t xml:space="preserve">https://r-hockey.ru/team/15102-Aviator/roster/2025/24932</x:t>
        </x:is>
      </x:c>
    </x:row>
    <x:row r="10">
      <x:c r="A10" s="67" t="inlineStr">
        <x:is>
          <x:t xml:space="preserve">Богослав Савелий</x:t>
        </x:is>
      </x:c>
      <x:c r="B10" s="67" t="inlineStr">
        <x:is>
          <x:t xml:space="preserve">Авиатор</x:t>
        </x:is>
      </x:c>
      <x:c r="C10" s="67" t="inlineStr">
        <x:is>
          <x:t xml:space="preserve">Защитник</x:t>
        </x:is>
      </x:c>
      <x:c r="D10" s="67" t="inlineStr">
        <x:is>
          <x:t xml:space="preserve">Да</x:t>
        </x:is>
      </x:c>
      <x:c r="E10" s="67" t="inlineStr">
        <x:is>
          <x:t xml:space="preserve">https://r-hockey.ru/team/15102-Aviator/roster/2025/24932</x:t>
        </x:is>
      </x:c>
    </x:row>
    <x:row r="11">
      <x:c r="A11" s="67" t="inlineStr">
        <x:is>
          <x:t xml:space="preserve">Зуевский Федор</x:t>
        </x:is>
      </x:c>
      <x:c r="B11" s="67" t="inlineStr">
        <x:is>
          <x:t xml:space="preserve">Авиатор</x:t>
        </x:is>
      </x:c>
      <x:c r="C11" s="67" t="inlineStr">
        <x:is>
          <x:t xml:space="preserve">Защитник</x:t>
        </x:is>
      </x:c>
      <x:c r="D11" s="67" t="inlineStr">
        <x:is>
          <x:t xml:space="preserve">Да</x:t>
        </x:is>
      </x:c>
      <x:c r="E11" s="67" t="inlineStr">
        <x:is>
          <x:t xml:space="preserve">https://r-hockey.ru/team/15102-Aviator/roster/2025/24932</x:t>
        </x:is>
      </x:c>
    </x:row>
    <x:row r="12">
      <x:c r="A12" s="67" t="inlineStr">
        <x:is>
          <x:t xml:space="preserve">Кухарев Алексей</x:t>
        </x:is>
      </x:c>
      <x:c r="B12" s="67" t="inlineStr">
        <x:is>
          <x:t xml:space="preserve">Авиатор</x:t>
        </x:is>
      </x:c>
      <x:c r="C12" s="67" t="inlineStr">
        <x:is>
          <x:t xml:space="preserve">Защитник</x:t>
        </x:is>
      </x:c>
      <x:c r="D12" s="67" t="inlineStr">
        <x:is>
          <x:t xml:space="preserve">Да</x:t>
        </x:is>
      </x:c>
      <x:c r="E12" s="67" t="inlineStr">
        <x:is>
          <x:t xml:space="preserve">https://r-hockey.ru/team/15102-Aviator/roster/2025/24932</x:t>
        </x:is>
      </x:c>
    </x:row>
    <x:row r="13">
      <x:c r="A13" s="67" t="inlineStr">
        <x:is>
          <x:t xml:space="preserve">Пожиган Олег</x:t>
        </x:is>
      </x:c>
      <x:c r="B13" s="67" t="inlineStr">
        <x:is>
          <x:t xml:space="preserve">Авиатор</x:t>
        </x:is>
      </x:c>
      <x:c r="C13" s="67" t="inlineStr">
        <x:is>
          <x:t xml:space="preserve">Защитник</x:t>
        </x:is>
      </x:c>
      <x:c r="D13" s="67" t="inlineStr">
        <x:is>
          <x:t xml:space="preserve">Да</x:t>
        </x:is>
      </x:c>
      <x:c r="E13" s="67" t="inlineStr">
        <x:is>
          <x:t xml:space="preserve">https://r-hockey.ru/team/15102-Aviator/roster/2025/24932</x:t>
        </x:is>
      </x:c>
    </x:row>
    <x:row r="14">
      <x:c r="A14" s="67" t="inlineStr">
        <x:is>
          <x:t xml:space="preserve">Рудаковский Марк</x:t>
        </x:is>
      </x:c>
      <x:c r="B14" s="67" t="inlineStr">
        <x:is>
          <x:t xml:space="preserve">Авиатор</x:t>
        </x:is>
      </x:c>
      <x:c r="C14" s="67" t="inlineStr">
        <x:is>
          <x:t xml:space="preserve">Защитник</x:t>
        </x:is>
      </x:c>
      <x:c r="D14" s="67" t="inlineStr">
        <x:is>
          <x:t xml:space="preserve">Да</x:t>
        </x:is>
      </x:c>
      <x:c r="E14" s="67" t="inlineStr">
        <x:is>
          <x:t xml:space="preserve">https://r-hockey.ru/team/15102-Aviator/roster/2025/24932</x:t>
        </x:is>
      </x:c>
    </x:row>
    <x:row r="15">
      <x:c r="A15" s="67" t="inlineStr">
        <x:is>
          <x:t xml:space="preserve">Синковец Кирилл</x:t>
        </x:is>
      </x:c>
      <x:c r="B15" s="67" t="inlineStr">
        <x:is>
          <x:t xml:space="preserve">Авиатор</x:t>
        </x:is>
      </x:c>
      <x:c r="C15" s="67" t="inlineStr">
        <x:is>
          <x:t xml:space="preserve">Защитник</x:t>
        </x:is>
      </x:c>
      <x:c r="D15" s="67" t="inlineStr">
        <x:is>
          <x:t xml:space="preserve">Да</x:t>
        </x:is>
      </x:c>
      <x:c r="E15" s="67" t="inlineStr">
        <x:is>
          <x:t xml:space="preserve">https://r-hockey.ru/team/15102-Aviator/roster/2025/24932</x:t>
        </x:is>
      </x:c>
    </x:row>
    <x:row r="16">
      <x:c r="A16" s="67" t="inlineStr">
        <x:is>
          <x:t xml:space="preserve">Сиротин</x:t>
        </x:is>
      </x:c>
      <x:c r="B16" s="67" t="inlineStr">
        <x:is>
          <x:t xml:space="preserve">Авиатор</x:t>
        </x:is>
      </x:c>
      <x:c r="C16" s="67" t="inlineStr">
        <x:is>
          <x:t xml:space="preserve">Защитник</x:t>
        </x:is>
      </x:c>
      <x:c r="D16" s="67" t="inlineStr">
        <x:is>
          <x:t xml:space="preserve">Да</x:t>
        </x:is>
      </x:c>
      <x:c r="E16" s="67" t="inlineStr">
        <x:is>
          <x:t xml:space="preserve">https://r-hockey.ru/team/15102-Aviator/roster/2025/24932</x:t>
        </x:is>
      </x:c>
    </x:row>
    <x:row r="17">
      <x:c r="A17" s="67" t="inlineStr">
        <x:is>
          <x:t xml:space="preserve">Сиротин Никита</x:t>
        </x:is>
      </x:c>
      <x:c r="B17" s="67" t="inlineStr">
        <x:is>
          <x:t xml:space="preserve">Авиатор</x:t>
        </x:is>
      </x:c>
      <x:c r="C17" s="67" t="inlineStr">
        <x:is>
          <x:t xml:space="preserve">Защитник</x:t>
        </x:is>
      </x:c>
      <x:c r="D17" s="67" t="inlineStr">
        <x:is>
          <x:t xml:space="preserve">Да</x:t>
        </x:is>
      </x:c>
      <x:c r="E17" s="67" t="inlineStr">
        <x:is>
          <x:t xml:space="preserve">https://r-hockey.ru/team/15102-Aviator/roster/2025/24932</x:t>
        </x:is>
      </x:c>
    </x:row>
    <x:row r="18">
      <x:c r="A18" s="67" t="inlineStr">
        <x:is>
          <x:t xml:space="preserve">Стремоухов Кирилл</x:t>
        </x:is>
      </x:c>
      <x:c r="B18" s="67" t="inlineStr">
        <x:is>
          <x:t xml:space="preserve">Авиатор</x:t>
        </x:is>
      </x:c>
      <x:c r="C18" s="67" t="inlineStr">
        <x:is>
          <x:t xml:space="preserve">Защитник</x:t>
        </x:is>
      </x:c>
      <x:c r="D18" s="67" t="inlineStr">
        <x:is>
          <x:t xml:space="preserve">Да</x:t>
        </x:is>
      </x:c>
      <x:c r="E18" s="67" t="inlineStr">
        <x:is>
          <x:t xml:space="preserve">https://r-hockey.ru/team/15102-Aviator/roster/2025/24932</x:t>
        </x:is>
      </x:c>
    </x:row>
    <x:row r="19">
      <x:c r="A19" s="67" t="inlineStr">
        <x:is>
          <x:t xml:space="preserve">Сущинский Максим</x:t>
        </x:is>
      </x:c>
      <x:c r="B19" s="67" t="inlineStr">
        <x:is>
          <x:t xml:space="preserve">Авиатор</x:t>
        </x:is>
      </x:c>
      <x:c r="C19" s="67" t="inlineStr">
        <x:is>
          <x:t xml:space="preserve">Защитник</x:t>
        </x:is>
      </x:c>
      <x:c r="D19" s="67" t="inlineStr">
        <x:is>
          <x:t xml:space="preserve">Да</x:t>
        </x:is>
      </x:c>
      <x:c r="E19" s="67" t="inlineStr">
        <x:is>
          <x:t xml:space="preserve">https://r-hockey.ru/team/15102-Aviator/roster/2025/24932</x:t>
        </x:is>
      </x:c>
    </x:row>
    <x:row r="20">
      <x:c r="A20" s="67" t="inlineStr">
        <x:is>
          <x:t xml:space="preserve">Усович Яков</x:t>
        </x:is>
      </x:c>
      <x:c r="B20" s="67" t="inlineStr">
        <x:is>
          <x:t xml:space="preserve">Авиатор</x:t>
        </x:is>
      </x:c>
      <x:c r="C20" s="67" t="inlineStr">
        <x:is>
          <x:t xml:space="preserve">Защитник</x:t>
        </x:is>
      </x:c>
      <x:c r="D20" s="67" t="inlineStr">
        <x:is>
          <x:t xml:space="preserve">Да</x:t>
        </x:is>
      </x:c>
      <x:c r="E20" s="67" t="inlineStr">
        <x:is>
          <x:t xml:space="preserve">https://r-hockey.ru/team/15102-Aviator/roster/2025/24932</x:t>
        </x:is>
      </x:c>
    </x:row>
    <x:row r="21">
      <x:c r="A21" s="67" t="inlineStr">
        <x:is>
          <x:t xml:space="preserve">Акулов Степан</x:t>
        </x:is>
      </x:c>
      <x:c r="B21" s="67" t="inlineStr">
        <x:is>
          <x:t xml:space="preserve">Авиатор</x:t>
        </x:is>
      </x:c>
      <x:c r="C21" s="67" t="inlineStr">
        <x:is>
          <x:t xml:space="preserve">Нападающий</x:t>
        </x:is>
      </x:c>
      <x:c r="D21" s="67" t="inlineStr">
        <x:is>
          <x:t xml:space="preserve">Да</x:t>
        </x:is>
      </x:c>
      <x:c r="E21" s="67" t="inlineStr">
        <x:is>
          <x:t xml:space="preserve">https://r-hockey.ru/team/15102-Aviator/roster/2025/24932</x:t>
        </x:is>
      </x:c>
    </x:row>
    <x:row r="22">
      <x:c r="A22" s="67" t="inlineStr">
        <x:is>
          <x:t xml:space="preserve">Апанасевич Вадим</x:t>
        </x:is>
      </x:c>
      <x:c r="B22" s="67" t="inlineStr">
        <x:is>
          <x:t xml:space="preserve">Авиатор</x:t>
        </x:is>
      </x:c>
      <x:c r="C22" s="67" t="inlineStr">
        <x:is>
          <x:t xml:space="preserve">Нападающий</x:t>
        </x:is>
      </x:c>
      <x:c r="D22" s="67" t="inlineStr">
        <x:is>
          <x:t xml:space="preserve">Да</x:t>
        </x:is>
      </x:c>
      <x:c r="E22" s="67" t="inlineStr">
        <x:is>
          <x:t xml:space="preserve">https://r-hockey.ru/team/15102-Aviator/roster/2025/24932</x:t>
        </x:is>
      </x:c>
    </x:row>
    <x:row r="23">
      <x:c r="A23" s="67" t="inlineStr">
        <x:is>
          <x:t xml:space="preserve">Герасимов Владислав</x:t>
        </x:is>
      </x:c>
      <x:c r="B23" s="67" t="inlineStr">
        <x:is>
          <x:t xml:space="preserve">Авиатор</x:t>
        </x:is>
      </x:c>
      <x:c r="C23" s="67" t="inlineStr">
        <x:is>
          <x:t xml:space="preserve">Нападающий</x:t>
        </x:is>
      </x:c>
      <x:c r="D23" s="67" t="inlineStr">
        <x:is>
          <x:t xml:space="preserve">Да</x:t>
        </x:is>
      </x:c>
      <x:c r="E23" s="67" t="inlineStr">
        <x:is>
          <x:t xml:space="preserve">https://r-hockey.ru/team/15102-Aviator/roster/2025/24932</x:t>
        </x:is>
      </x:c>
    </x:row>
    <x:row r="24">
      <x:c r="A24" s="67" t="inlineStr">
        <x:is>
          <x:t xml:space="preserve">Герасимов Станислав</x:t>
        </x:is>
      </x:c>
      <x:c r="B24" s="67" t="inlineStr">
        <x:is>
          <x:t xml:space="preserve">Авиатор</x:t>
        </x:is>
      </x:c>
      <x:c r="C24" s="67" t="inlineStr">
        <x:is>
          <x:t xml:space="preserve">Нападающий</x:t>
        </x:is>
      </x:c>
      <x:c r="D24" s="67" t="inlineStr">
        <x:is>
          <x:t xml:space="preserve">Да</x:t>
        </x:is>
      </x:c>
      <x:c r="E24" s="67" t="inlineStr">
        <x:is>
          <x:t xml:space="preserve">https://r-hockey.ru/team/15102-Aviator/roster/2025/24932</x:t>
        </x:is>
      </x:c>
    </x:row>
    <x:row r="25">
      <x:c r="A25" s="67" t="inlineStr">
        <x:is>
          <x:t xml:space="preserve">Горчарук Владислав</x:t>
        </x:is>
      </x:c>
      <x:c r="B25" s="67" t="inlineStr">
        <x:is>
          <x:t xml:space="preserve">Авиатор</x:t>
        </x:is>
      </x:c>
      <x:c r="C25" s="67" t="inlineStr">
        <x:is>
          <x:t xml:space="preserve">Нападающий</x:t>
        </x:is>
      </x:c>
      <x:c r="D25" s="67" t="inlineStr">
        <x:is>
          <x:t xml:space="preserve">Да</x:t>
        </x:is>
      </x:c>
      <x:c r="E25" s="67" t="inlineStr">
        <x:is>
          <x:t xml:space="preserve">https://r-hockey.ru/team/15102-Aviator/roster/2025/24932</x:t>
        </x:is>
      </x:c>
    </x:row>
    <x:row r="26">
      <x:c r="A26" s="67" t="inlineStr">
        <x:is>
          <x:t xml:space="preserve">Ковалевич Владислав</x:t>
        </x:is>
      </x:c>
      <x:c r="B26" s="67" t="inlineStr">
        <x:is>
          <x:t xml:space="preserve">Авиатор</x:t>
        </x:is>
      </x:c>
      <x:c r="C26" s="67" t="inlineStr">
        <x:is>
          <x:t xml:space="preserve">Нападающий</x:t>
        </x:is>
      </x:c>
      <x:c r="D26" s="67" t="inlineStr">
        <x:is>
          <x:t xml:space="preserve">Да</x:t>
        </x:is>
      </x:c>
      <x:c r="E26" s="67" t="inlineStr">
        <x:is>
          <x:t xml:space="preserve">https://r-hockey.ru/team/15102-Aviator/roster/2025/24932</x:t>
        </x:is>
      </x:c>
    </x:row>
    <x:row r="27">
      <x:c r="A27" s="67" t="inlineStr">
        <x:is>
          <x:t xml:space="preserve">Кокошко Егор</x:t>
        </x:is>
      </x:c>
      <x:c r="B27" s="67" t="inlineStr">
        <x:is>
          <x:t xml:space="preserve">Авиатор</x:t>
        </x:is>
      </x:c>
      <x:c r="C27" s="67" t="inlineStr">
        <x:is>
          <x:t xml:space="preserve">Нападающий</x:t>
        </x:is>
      </x:c>
      <x:c r="D27" s="67" t="inlineStr">
        <x:is>
          <x:t xml:space="preserve">Да</x:t>
        </x:is>
      </x:c>
      <x:c r="E27" s="67" t="inlineStr">
        <x:is>
          <x:t xml:space="preserve">https://r-hockey.ru/team/15102-Aviator/roster/2025/24932</x:t>
        </x:is>
      </x:c>
    </x:row>
    <x:row r="28">
      <x:c r="A28" s="67" t="inlineStr">
        <x:is>
          <x:t xml:space="preserve">Островский Олег</x:t>
        </x:is>
      </x:c>
      <x:c r="B28" s="67" t="inlineStr">
        <x:is>
          <x:t xml:space="preserve">Авиатор</x:t>
        </x:is>
      </x:c>
      <x:c r="C28" s="67" t="inlineStr">
        <x:is>
          <x:t xml:space="preserve">Нападающий</x:t>
        </x:is>
      </x:c>
      <x:c r="D28" s="67" t="inlineStr">
        <x:is>
          <x:t xml:space="preserve">Да</x:t>
        </x:is>
      </x:c>
      <x:c r="E28" s="67" t="inlineStr">
        <x:is>
          <x:t xml:space="preserve">https://r-hockey.ru/team/15102-Aviator/roster/2025/24932</x:t>
        </x:is>
      </x:c>
    </x:row>
    <x:row r="29">
      <x:c r="A29" s="67" t="inlineStr">
        <x:is>
          <x:t xml:space="preserve">Пластинин Денис</x:t>
        </x:is>
      </x:c>
      <x:c r="B29" s="67" t="inlineStr">
        <x:is>
          <x:t xml:space="preserve">Авиатор</x:t>
        </x:is>
      </x:c>
      <x:c r="C29" s="67" t="inlineStr">
        <x:is>
          <x:t xml:space="preserve">Нападающий</x:t>
        </x:is>
      </x:c>
      <x:c r="D29" s="67" t="inlineStr">
        <x:is>
          <x:t xml:space="preserve">Да</x:t>
        </x:is>
      </x:c>
      <x:c r="E29" s="67" t="inlineStr">
        <x:is>
          <x:t xml:space="preserve">https://r-hockey.ru/team/15102-Aviator/roster/2025/24932</x:t>
        </x:is>
      </x:c>
    </x:row>
    <x:row r="30">
      <x:c r="A30" s="67" t="inlineStr">
        <x:is>
          <x:t xml:space="preserve">Селивоник Алексей</x:t>
        </x:is>
      </x:c>
      <x:c r="B30" s="67" t="inlineStr">
        <x:is>
          <x:t xml:space="preserve">Авиатор</x:t>
        </x:is>
      </x:c>
      <x:c r="C30" s="67" t="inlineStr">
        <x:is>
          <x:t xml:space="preserve">Нападающий</x:t>
        </x:is>
      </x:c>
      <x:c r="D30" s="67" t="inlineStr">
        <x:is>
          <x:t xml:space="preserve">Да</x:t>
        </x:is>
      </x:c>
      <x:c r="E30" s="67" t="inlineStr">
        <x:is>
          <x:t xml:space="preserve">https://r-hockey.ru/team/15102-Aviator/roster/2025/24932</x:t>
        </x:is>
      </x:c>
    </x:row>
    <x:row r="31">
      <x:c r="A31" s="67" t="inlineStr">
        <x:is>
          <x:t xml:space="preserve">Хузеев Евгений</x:t>
        </x:is>
      </x:c>
      <x:c r="B31" s="67" t="inlineStr">
        <x:is>
          <x:t xml:space="preserve">Авиатор</x:t>
        </x:is>
      </x:c>
      <x:c r="C31" s="67" t="inlineStr">
        <x:is>
          <x:t xml:space="preserve">Нападающий</x:t>
        </x:is>
      </x:c>
      <x:c r="D31" s="67" t="inlineStr">
        <x:is>
          <x:t xml:space="preserve">Да</x:t>
        </x:is>
      </x:c>
      <x:c r="E31" s="67" t="inlineStr">
        <x:is>
          <x:t xml:space="preserve">https://r-hockey.ru/team/15102-Aviator/roster/2025/24932</x:t>
        </x:is>
      </x:c>
    </x:row>
    <x:row r="32">
      <x:c r="A32" s="67" t="inlineStr">
        <x:is>
          <x:t xml:space="preserve">Шапурко Семен</x:t>
        </x:is>
      </x:c>
      <x:c r="B32" s="67" t="inlineStr">
        <x:is>
          <x:t xml:space="preserve">Авиатор</x:t>
        </x:is>
      </x:c>
      <x:c r="C32" s="67" t="inlineStr">
        <x:is>
          <x:t xml:space="preserve">Нападающий</x:t>
        </x:is>
      </x:c>
      <x:c r="D32" s="67" t="inlineStr">
        <x:is>
          <x:t xml:space="preserve">Да</x:t>
        </x:is>
      </x:c>
      <x:c r="E32" s="67" t="inlineStr">
        <x:is>
          <x:t xml:space="preserve">https://r-hockey.ru/team/15102-Aviator/roster/2025/24932</x:t>
        </x:is>
      </x:c>
    </x:row>
    <x:row r="33">
      <x:c r="A33" s="67" t="inlineStr">
        <x:is>
          <x:t xml:space="preserve">Шкляревский Егор</x:t>
        </x:is>
      </x:c>
      <x:c r="B33" s="67" t="inlineStr">
        <x:is>
          <x:t xml:space="preserve">Авиатор</x:t>
        </x:is>
      </x:c>
      <x:c r="C33" s="67" t="inlineStr">
        <x:is>
          <x:t xml:space="preserve">Нападающий</x:t>
        </x:is>
      </x:c>
      <x:c r="D33" s="67" t="inlineStr">
        <x:is>
          <x:t xml:space="preserve">Да</x:t>
        </x:is>
      </x:c>
      <x:c r="E33" s="67" t="inlineStr">
        <x:is>
          <x:t xml:space="preserve">https://r-hockey.ru/team/15102-Aviator/roster/2025/24932</x:t>
        </x:is>
      </x:c>
    </x:row>
    <x:row r="34">
      <x:c r="A34" s="67" t="inlineStr">
        <x:is>
          <x:t xml:space="preserve">Янкин Ярослав</x:t>
        </x:is>
      </x:c>
      <x:c r="B34" s="67" t="inlineStr">
        <x:is>
          <x:t xml:space="preserve">Авиатор</x:t>
        </x:is>
      </x:c>
      <x:c r="C34" s="67" t="inlineStr">
        <x:is>
          <x:t xml:space="preserve">Нападающий</x:t>
        </x:is>
      </x:c>
      <x:c r="D34" s="67" t="inlineStr">
        <x:is>
          <x:t xml:space="preserve">Да</x:t>
        </x:is>
      </x:c>
      <x:c r="E34" s="67" t="inlineStr">
        <x:is>
          <x:t xml:space="preserve">https://r-hockey.ru/team/15102-Aviator/roster/2025/24932</x:t>
        </x:is>
      </x:c>
    </x:row>
    <x:row r="35">
      <x:c r="A35" s="67" t="inlineStr">
        <x:is>
          <x:t xml:space="preserve">Бронников</x:t>
        </x:is>
      </x:c>
      <x:c r="B35" s="67" t="inlineStr">
        <x:is>
          <x:t xml:space="preserve">Брест</x:t>
        </x:is>
      </x:c>
      <x:c r="C35" s="67" t="inlineStr">
        <x:is>
          <x:t xml:space="preserve">Вратарь</x:t>
        </x:is>
      </x:c>
      <x:c r="D35" s="67" t="inlineStr">
        <x:is>
          <x:t xml:space="preserve">Да</x:t>
        </x:is>
      </x:c>
      <x:c r="E35" s="67" t="inlineStr">
        <x:is>
          <x:t xml:space="preserve">https://r-hockey.ru/team/702-HC_Brest/roster/2025</x:t>
        </x:is>
      </x:c>
    </x:row>
    <x:row r="36">
      <x:c r="A36" s="67" t="inlineStr">
        <x:is>
          <x:t xml:space="preserve">Бронников Сергей</x:t>
        </x:is>
      </x:c>
      <x:c r="B36" s="67" t="inlineStr">
        <x:is>
          <x:t xml:space="preserve">Брест</x:t>
        </x:is>
      </x:c>
      <x:c r="C36" s="67" t="inlineStr">
        <x:is>
          <x:t xml:space="preserve">Вратарь</x:t>
        </x:is>
      </x:c>
      <x:c r="D36" s="67" t="inlineStr">
        <x:is>
          <x:t xml:space="preserve">Да</x:t>
        </x:is>
      </x:c>
      <x:c r="E36" s="67" t="inlineStr">
        <x:is>
          <x:t xml:space="preserve">https://r-hockey.ru/team/702-HC_Brest/roster/2025</x:t>
        </x:is>
      </x:c>
    </x:row>
    <x:row r="37">
      <x:c r="A37" s="67" t="inlineStr">
        <x:is>
          <x:t xml:space="preserve">Городецкий Максим</x:t>
        </x:is>
      </x:c>
      <x:c r="B37" s="67" t="inlineStr">
        <x:is>
          <x:t xml:space="preserve">Брест</x:t>
        </x:is>
      </x:c>
      <x:c r="C37" s="67" t="inlineStr">
        <x:is>
          <x:t xml:space="preserve">Вратарь</x:t>
        </x:is>
      </x:c>
      <x:c r="D37" s="67" t="inlineStr">
        <x:is>
          <x:t xml:space="preserve">Да</x:t>
        </x:is>
      </x:c>
      <x:c r="E37" s="67" t="inlineStr">
        <x:is>
          <x:t xml:space="preserve">https://r-hockey.ru/team/702-HC_Brest/roster/2025</x:t>
        </x:is>
      </x:c>
    </x:row>
    <x:row r="38">
      <x:c r="A38" s="67" t="inlineStr">
        <x:is>
          <x:t xml:space="preserve">Гришанов Антон</x:t>
        </x:is>
      </x:c>
      <x:c r="B38" s="67" t="inlineStr">
        <x:is>
          <x:t xml:space="preserve">Брест</x:t>
        </x:is>
      </x:c>
      <x:c r="C38" s="67" t="inlineStr">
        <x:is>
          <x:t xml:space="preserve">Защитник</x:t>
        </x:is>
      </x:c>
      <x:c r="D38" s="67" t="inlineStr">
        <x:is>
          <x:t xml:space="preserve">Да</x:t>
        </x:is>
      </x:c>
      <x:c r="E38" s="67" t="inlineStr">
        <x:is>
          <x:t xml:space="preserve">https://r-hockey.ru/team/702-HC_Brest/roster/2025</x:t>
        </x:is>
      </x:c>
    </x:row>
    <x:row r="39">
      <x:c r="A39" s="67" t="inlineStr">
        <x:is>
          <x:t xml:space="preserve">Знахаренко</x:t>
        </x:is>
      </x:c>
      <x:c r="B39" s="67" t="inlineStr">
        <x:is>
          <x:t xml:space="preserve">Брест</x:t>
        </x:is>
      </x:c>
      <x:c r="C39" s="67" t="inlineStr">
        <x:is>
          <x:t xml:space="preserve">Защитник</x:t>
        </x:is>
      </x:c>
      <x:c r="D39" s="67" t="inlineStr">
        <x:is>
          <x:t xml:space="preserve">Да</x:t>
        </x:is>
      </x:c>
      <x:c r="E39" s="67" t="inlineStr">
        <x:is>
          <x:t xml:space="preserve">https://r-hockey.ru/team/702-HC_Brest/roster/2025</x:t>
        </x:is>
      </x:c>
    </x:row>
    <x:row r="40">
      <x:c r="A40" s="67" t="inlineStr">
        <x:is>
          <x:t xml:space="preserve">Иванов</x:t>
        </x:is>
      </x:c>
      <x:c r="B40" s="67" t="inlineStr">
        <x:is>
          <x:t xml:space="preserve">Брест</x:t>
        </x:is>
      </x:c>
      <x:c r="C40" s="67" t="inlineStr">
        <x:is>
          <x:t xml:space="preserve">Защитник</x:t>
        </x:is>
      </x:c>
      <x:c r="D40" s="67" t="inlineStr">
        <x:is>
          <x:t xml:space="preserve">Да</x:t>
        </x:is>
      </x:c>
      <x:c r="E40" s="67" t="inlineStr">
        <x:is>
          <x:t xml:space="preserve">https://r-hockey.ru/team/702-HC_Brest/roster/2025</x:t>
        </x:is>
      </x:c>
    </x:row>
    <x:row r="41">
      <x:c r="A41" s="67" t="inlineStr">
        <x:is>
          <x:t xml:space="preserve">Кожевников Никита</x:t>
        </x:is>
      </x:c>
      <x:c r="B41" s="67" t="inlineStr">
        <x:is>
          <x:t xml:space="preserve">Брест</x:t>
        </x:is>
      </x:c>
      <x:c r="C41" s="67" t="inlineStr">
        <x:is>
          <x:t xml:space="preserve">Защитник</x:t>
        </x:is>
      </x:c>
      <x:c r="D41" s="67" t="inlineStr">
        <x:is>
          <x:t xml:space="preserve">Да</x:t>
        </x:is>
      </x:c>
      <x:c r="E41" s="67" t="inlineStr">
        <x:is>
          <x:t xml:space="preserve">https://r-hockey.ru/team/702-HC_Brest/roster/2025</x:t>
        </x:is>
      </x:c>
    </x:row>
    <x:row r="42">
      <x:c r="A42" s="67" t="inlineStr">
        <x:is>
          <x:t xml:space="preserve">Кравчук Андрей</x:t>
        </x:is>
      </x:c>
      <x:c r="B42" s="67" t="inlineStr">
        <x:is>
          <x:t xml:space="preserve">Брест</x:t>
        </x:is>
      </x:c>
      <x:c r="C42" s="67" t="inlineStr">
        <x:is>
          <x:t xml:space="preserve">Защитник</x:t>
        </x:is>
      </x:c>
      <x:c r="D42" s="67" t="inlineStr">
        <x:is>
          <x:t xml:space="preserve">Да</x:t>
        </x:is>
      </x:c>
      <x:c r="E42" s="67" t="inlineStr">
        <x:is>
          <x:t xml:space="preserve">https://r-hockey.ru/team/702-HC_Brest/roster/2025</x:t>
        </x:is>
      </x:c>
    </x:row>
    <x:row r="43">
      <x:c r="A43" s="67" t="inlineStr">
        <x:is>
          <x:t xml:space="preserve">Лисовец Евгений</x:t>
        </x:is>
      </x:c>
      <x:c r="B43" s="67" t="inlineStr">
        <x:is>
          <x:t xml:space="preserve">Брест</x:t>
        </x:is>
      </x:c>
      <x:c r="C43" s="67" t="inlineStr">
        <x:is>
          <x:t xml:space="preserve">Защитник</x:t>
        </x:is>
      </x:c>
      <x:c r="D43" s="67" t="inlineStr">
        <x:is>
          <x:t xml:space="preserve">Да</x:t>
        </x:is>
      </x:c>
      <x:c r="E43" s="67" t="inlineStr">
        <x:is>
          <x:t xml:space="preserve">https://r-hockey.ru/team/702-HC_Brest/roster/2025</x:t>
        </x:is>
      </x:c>
    </x:row>
    <x:row r="44">
      <x:c r="A44" s="67" t="inlineStr">
        <x:is>
          <x:t xml:space="preserve">Мартынюк</x:t>
        </x:is>
      </x:c>
      <x:c r="B44" s="67" t="inlineStr">
        <x:is>
          <x:t xml:space="preserve">Брест</x:t>
        </x:is>
      </x:c>
      <x:c r="C44" s="67" t="inlineStr">
        <x:is>
          <x:t xml:space="preserve">Защитник</x:t>
        </x:is>
      </x:c>
      <x:c r="D44" s="67" t="inlineStr">
        <x:is>
          <x:t xml:space="preserve">Да</x:t>
        </x:is>
      </x:c>
      <x:c r="E44" s="67" t="inlineStr">
        <x:is>
          <x:t xml:space="preserve">https://r-hockey.ru/team/702-HC_Brest/roster/2025</x:t>
        </x:is>
      </x:c>
    </x:row>
    <x:row r="45">
      <x:c r="A45" s="67" t="inlineStr">
        <x:is>
          <x:t xml:space="preserve">Мартынюк Владислав</x:t>
        </x:is>
      </x:c>
      <x:c r="B45" s="67" t="inlineStr">
        <x:is>
          <x:t xml:space="preserve">Брест</x:t>
        </x:is>
      </x:c>
      <x:c r="C45" s="67" t="inlineStr">
        <x:is>
          <x:t xml:space="preserve">Защитник</x:t>
        </x:is>
      </x:c>
      <x:c r="D45" s="67" t="inlineStr">
        <x:is>
          <x:t xml:space="preserve">Да</x:t>
        </x:is>
      </x:c>
      <x:c r="E45" s="67" t="inlineStr">
        <x:is>
          <x:t xml:space="preserve">https://r-hockey.ru/team/702-HC_Brest/roster/2025</x:t>
        </x:is>
      </x:c>
    </x:row>
    <x:row r="46">
      <x:c r="A46" s="67" t="inlineStr">
        <x:is>
          <x:t xml:space="preserve">Мисюль</x:t>
        </x:is>
      </x:c>
      <x:c r="B46" s="67" t="inlineStr">
        <x:is>
          <x:t xml:space="preserve">Брест</x:t>
        </x:is>
      </x:c>
      <x:c r="C46" s="67" t="inlineStr">
        <x:is>
          <x:t xml:space="preserve">Защитник</x:t>
        </x:is>
      </x:c>
      <x:c r="D46" s="67" t="inlineStr">
        <x:is>
          <x:t xml:space="preserve">Да</x:t>
        </x:is>
      </x:c>
      <x:c r="E46" s="67" t="inlineStr">
        <x:is>
          <x:t xml:space="preserve">https://r-hockey.ru/team/702-HC_Brest/roster/2025</x:t>
        </x:is>
      </x:c>
    </x:row>
    <x:row r="47">
      <x:c r="A47" s="67" t="inlineStr">
        <x:is>
          <x:t xml:space="preserve">Оганезов Сергей</x:t>
        </x:is>
      </x:c>
      <x:c r="B47" s="67" t="inlineStr">
        <x:is>
          <x:t xml:space="preserve">Брест</x:t>
        </x:is>
      </x:c>
      <x:c r="C47" s="67" t="inlineStr">
        <x:is>
          <x:t xml:space="preserve">Защитник</x:t>
        </x:is>
      </x:c>
      <x:c r="D47" s="67" t="inlineStr">
        <x:is>
          <x:t xml:space="preserve">Да</x:t>
        </x:is>
      </x:c>
      <x:c r="E47" s="67" t="inlineStr">
        <x:is>
          <x:t xml:space="preserve">https://r-hockey.ru/team/702-HC_Brest/roster/2025</x:t>
        </x:is>
      </x:c>
    </x:row>
    <x:row r="48">
      <x:c r="A48" s="67" t="inlineStr">
        <x:is>
          <x:t xml:space="preserve">Петручик Роман</x:t>
        </x:is>
      </x:c>
      <x:c r="B48" s="67" t="inlineStr">
        <x:is>
          <x:t xml:space="preserve">Брест</x:t>
        </x:is>
      </x:c>
      <x:c r="C48" s="67" t="inlineStr">
        <x:is>
          <x:t xml:space="preserve">Защитник</x:t>
        </x:is>
      </x:c>
      <x:c r="D48" s="67" t="inlineStr">
        <x:is>
          <x:t xml:space="preserve">Да</x:t>
        </x:is>
      </x:c>
      <x:c r="E48" s="67" t="inlineStr">
        <x:is>
          <x:t xml:space="preserve">https://r-hockey.ru/team/702-HC_Brest/roster/2025</x:t>
        </x:is>
      </x:c>
    </x:row>
    <x:row r="49">
      <x:c r="A49" s="67" t="inlineStr">
        <x:is>
          <x:t xml:space="preserve">Романович Сергей</x:t>
        </x:is>
      </x:c>
      <x:c r="B49" s="67" t="inlineStr">
        <x:is>
          <x:t xml:space="preserve">Брест</x:t>
        </x:is>
      </x:c>
      <x:c r="C49" s="67" t="inlineStr">
        <x:is>
          <x:t xml:space="preserve">Защитник</x:t>
        </x:is>
      </x:c>
      <x:c r="D49" s="67" t="inlineStr">
        <x:is>
          <x:t xml:space="preserve">Да</x:t>
        </x:is>
      </x:c>
      <x:c r="E49" s="67" t="inlineStr">
        <x:is>
          <x:t xml:space="preserve">https://r-hockey.ru/team/702-HC_Brest/roster/2025</x:t>
        </x:is>
      </x:c>
    </x:row>
    <x:row r="50">
      <x:c r="A50" s="67" t="inlineStr">
        <x:is>
          <x:t xml:space="preserve">Сушко Илья</x:t>
        </x:is>
      </x:c>
      <x:c r="B50" s="67" t="inlineStr">
        <x:is>
          <x:t xml:space="preserve">Брест</x:t>
        </x:is>
      </x:c>
      <x:c r="C50" s="67" t="inlineStr">
        <x:is>
          <x:t xml:space="preserve">Защитник</x:t>
        </x:is>
      </x:c>
      <x:c r="D50" s="67" t="inlineStr">
        <x:is>
          <x:t xml:space="preserve">Да</x:t>
        </x:is>
      </x:c>
      <x:c r="E50" s="67" t="inlineStr">
        <x:is>
          <x:t xml:space="preserve">https://r-hockey.ru/team/702-HC_Brest/roster/2025</x:t>
        </x:is>
      </x:c>
    </x:row>
    <x:row r="51">
      <x:c r="A51" s="67" t="inlineStr">
        <x:is>
          <x:t xml:space="preserve">Татаренко Константин</x:t>
        </x:is>
      </x:c>
      <x:c r="B51" s="67" t="inlineStr">
        <x:is>
          <x:t xml:space="preserve">Брест</x:t>
        </x:is>
      </x:c>
      <x:c r="C51" s="67" t="inlineStr">
        <x:is>
          <x:t xml:space="preserve">Защитник</x:t>
        </x:is>
      </x:c>
      <x:c r="D51" s="67" t="inlineStr">
        <x:is>
          <x:t xml:space="preserve">Да</x:t>
        </x:is>
      </x:c>
      <x:c r="E51" s="67" t="inlineStr">
        <x:is>
          <x:t xml:space="preserve">https://r-hockey.ru/team/702-HC_Brest/roster/2025</x:t>
        </x:is>
      </x:c>
    </x:row>
    <x:row r="52">
      <x:c r="A52" s="67" t="inlineStr">
        <x:is>
          <x:t xml:space="preserve">Филанович Николай</x:t>
        </x:is>
      </x:c>
      <x:c r="B52" s="67" t="inlineStr">
        <x:is>
          <x:t xml:space="preserve">Брест</x:t>
        </x:is>
      </x:c>
      <x:c r="C52" s="67" t="inlineStr">
        <x:is>
          <x:t xml:space="preserve">Защитник</x:t>
        </x:is>
      </x:c>
      <x:c r="D52" s="67" t="inlineStr">
        <x:is>
          <x:t xml:space="preserve">Да</x:t>
        </x:is>
      </x:c>
      <x:c r="E52" s="67" t="inlineStr">
        <x:is>
          <x:t xml:space="preserve">https://r-hockey.ru/team/702-HC_Brest/roster/2025</x:t>
        </x:is>
      </x:c>
    </x:row>
    <x:row r="53">
      <x:c r="A53" s="67" t="inlineStr">
        <x:is>
          <x:t xml:space="preserve">Шелег Сергей</x:t>
        </x:is>
      </x:c>
      <x:c r="B53" s="67" t="inlineStr">
        <x:is>
          <x:t xml:space="preserve">Брест</x:t>
        </x:is>
      </x:c>
      <x:c r="C53" s="67" t="inlineStr">
        <x:is>
          <x:t xml:space="preserve">Защитник</x:t>
        </x:is>
      </x:c>
      <x:c r="D53" s="67" t="inlineStr">
        <x:is>
          <x:t xml:space="preserve">Да</x:t>
        </x:is>
      </x:c>
      <x:c r="E53" s="67" t="inlineStr">
        <x:is>
          <x:t xml:space="preserve">https://r-hockey.ru/team/702-HC_Brest/roster/2025</x:t>
        </x:is>
      </x:c>
    </x:row>
    <x:row r="54">
      <x:c r="A54" s="67" t="inlineStr">
        <x:is>
          <x:t xml:space="preserve">Шурыгин Александр</x:t>
        </x:is>
      </x:c>
      <x:c r="B54" s="67" t="inlineStr">
        <x:is>
          <x:t xml:space="preserve">Брест</x:t>
        </x:is>
      </x:c>
      <x:c r="C54" s="67" t="inlineStr">
        <x:is>
          <x:t xml:space="preserve">Защитник</x:t>
        </x:is>
      </x:c>
      <x:c r="D54" s="67" t="inlineStr">
        <x:is>
          <x:t xml:space="preserve">Да</x:t>
        </x:is>
      </x:c>
      <x:c r="E54" s="67" t="inlineStr">
        <x:is>
          <x:t xml:space="preserve">https://r-hockey.ru/team/702-HC_Brest/roster/2025</x:t>
        </x:is>
      </x:c>
    </x:row>
    <x:row r="55">
      <x:c r="A55" s="67" t="inlineStr">
        <x:is>
          <x:t xml:space="preserve">Алешин Егор</x:t>
        </x:is>
      </x:c>
      <x:c r="B55" s="67" t="inlineStr">
        <x:is>
          <x:t xml:space="preserve">Брест</x:t>
        </x:is>
      </x:c>
      <x:c r="C55" s="67" t="inlineStr">
        <x:is>
          <x:t xml:space="preserve">Нападающий</x:t>
        </x:is>
      </x:c>
      <x:c r="D55" s="67" t="inlineStr">
        <x:is>
          <x:t xml:space="preserve">Да</x:t>
        </x:is>
      </x:c>
      <x:c r="E55" s="67" t="inlineStr">
        <x:is>
          <x:t xml:space="preserve">https://r-hockey.ru/team/702-HC_Brest/roster/2025</x:t>
        </x:is>
      </x:c>
    </x:row>
    <x:row r="56">
      <x:c r="A56" s="67" t="inlineStr">
        <x:is>
          <x:t xml:space="preserve">Бовбель Виктор</x:t>
        </x:is>
      </x:c>
      <x:c r="B56" s="67" t="inlineStr">
        <x:is>
          <x:t xml:space="preserve">Брест</x:t>
        </x:is>
      </x:c>
      <x:c r="C56" s="67" t="inlineStr">
        <x:is>
          <x:t xml:space="preserve">Нападающий</x:t>
        </x:is>
      </x:c>
      <x:c r="D56" s="67" t="inlineStr">
        <x:is>
          <x:t xml:space="preserve">Да</x:t>
        </x:is>
      </x:c>
      <x:c r="E56" s="67" t="inlineStr">
        <x:is>
          <x:t xml:space="preserve">https://r-hockey.ru/team/702-HC_Brest/roster/2025</x:t>
        </x:is>
      </x:c>
    </x:row>
    <x:row r="57">
      <x:c r="A57" s="67" t="inlineStr">
        <x:is>
          <x:t xml:space="preserve">Веремеенко Юрий</x:t>
        </x:is>
      </x:c>
      <x:c r="B57" s="67" t="inlineStr">
        <x:is>
          <x:t xml:space="preserve">Брест</x:t>
        </x:is>
      </x:c>
      <x:c r="C57" s="67" t="inlineStr">
        <x:is>
          <x:t xml:space="preserve">Нападающий</x:t>
        </x:is>
      </x:c>
      <x:c r="D57" s="67" t="inlineStr">
        <x:is>
          <x:t xml:space="preserve">Да</x:t>
        </x:is>
      </x:c>
      <x:c r="E57" s="67" t="inlineStr">
        <x:is>
          <x:t xml:space="preserve">https://r-hockey.ru/team/702-HC_Brest/roster/2025</x:t>
        </x:is>
      </x:c>
    </x:row>
    <x:row r="58">
      <x:c r="A58" s="67" t="inlineStr">
        <x:is>
          <x:t xml:space="preserve">Гимбатов Ахмед</x:t>
        </x:is>
      </x:c>
      <x:c r="B58" s="67" t="inlineStr">
        <x:is>
          <x:t xml:space="preserve">Брест</x:t>
        </x:is>
      </x:c>
      <x:c r="C58" s="67" t="inlineStr">
        <x:is>
          <x:t xml:space="preserve">Нападающий</x:t>
        </x:is>
      </x:c>
      <x:c r="D58" s="67" t="inlineStr">
        <x:is>
          <x:t xml:space="preserve">Да</x:t>
        </x:is>
      </x:c>
      <x:c r="E58" s="67" t="inlineStr">
        <x:is>
          <x:t xml:space="preserve">https://r-hockey.ru/team/702-HC_Brest/roster/2025</x:t>
        </x:is>
      </x:c>
    </x:row>
    <x:row r="59">
      <x:c r="A59" s="67" t="inlineStr">
        <x:is>
          <x:t xml:space="preserve">Гимбатов Магомед</x:t>
        </x:is>
      </x:c>
      <x:c r="B59" s="67" t="inlineStr">
        <x:is>
          <x:t xml:space="preserve">Брест</x:t>
        </x:is>
      </x:c>
      <x:c r="C59" s="67" t="inlineStr">
        <x:is>
          <x:t xml:space="preserve">Нападающий</x:t>
        </x:is>
      </x:c>
      <x:c r="D59" s="67" t="inlineStr">
        <x:is>
          <x:t xml:space="preserve">Да</x:t>
        </x:is>
      </x:c>
      <x:c r="E59" s="67" t="inlineStr">
        <x:is>
          <x:t xml:space="preserve">https://r-hockey.ru/team/702-HC_Brest/roster/2025</x:t>
        </x:is>
      </x:c>
    </x:row>
    <x:row r="60">
      <x:c r="A60" s="67" t="inlineStr">
        <x:is>
          <x:t xml:space="preserve">Жигалов Валерий</x:t>
        </x:is>
      </x:c>
      <x:c r="B60" s="67" t="inlineStr">
        <x:is>
          <x:t xml:space="preserve">Брест</x:t>
        </x:is>
      </x:c>
      <x:c r="C60" s="67" t="inlineStr">
        <x:is>
          <x:t xml:space="preserve">Нападающий</x:t>
        </x:is>
      </x:c>
      <x:c r="D60" s="67" t="inlineStr">
        <x:is>
          <x:t xml:space="preserve">Да</x:t>
        </x:is>
      </x:c>
      <x:c r="E60" s="67" t="inlineStr">
        <x:is>
          <x:t xml:space="preserve">https://r-hockey.ru/team/702-HC_Brest/roster/2025</x:t>
        </x:is>
      </x:c>
    </x:row>
    <x:row r="61">
      <x:c r="A61" s="67" t="inlineStr">
        <x:is>
          <x:t xml:space="preserve">Казьянин Илья</x:t>
        </x:is>
      </x:c>
      <x:c r="B61" s="67" t="inlineStr">
        <x:is>
          <x:t xml:space="preserve">Брест</x:t>
        </x:is>
      </x:c>
      <x:c r="C61" s="67" t="inlineStr">
        <x:is>
          <x:t xml:space="preserve">Нападающий</x:t>
        </x:is>
      </x:c>
      <x:c r="D61" s="67" t="inlineStr">
        <x:is>
          <x:t xml:space="preserve">Да</x:t>
        </x:is>
      </x:c>
      <x:c r="E61" s="67" t="inlineStr">
        <x:is>
          <x:t xml:space="preserve">https://r-hockey.ru/team/702-HC_Brest/roster/2025</x:t>
        </x:is>
      </x:c>
    </x:row>
    <x:row r="62">
      <x:c r="A62" s="67" t="inlineStr">
        <x:is>
          <x:t xml:space="preserve">Карабанов Игорь</x:t>
        </x:is>
      </x:c>
      <x:c r="B62" s="67" t="inlineStr">
        <x:is>
          <x:t xml:space="preserve">Брест</x:t>
        </x:is>
      </x:c>
      <x:c r="C62" s="67" t="inlineStr">
        <x:is>
          <x:t xml:space="preserve">Нападающий</x:t>
        </x:is>
      </x:c>
      <x:c r="D62" s="67" t="inlineStr">
        <x:is>
          <x:t xml:space="preserve">Да</x:t>
        </x:is>
      </x:c>
      <x:c r="E62" s="67" t="inlineStr">
        <x:is>
          <x:t xml:space="preserve">https://r-hockey.ru/team/702-HC_Brest/roster/2025</x:t>
        </x:is>
      </x:c>
    </x:row>
    <x:row r="63">
      <x:c r="A63" s="67" t="inlineStr">
        <x:is>
          <x:t xml:space="preserve">Качан Федор</x:t>
        </x:is>
      </x:c>
      <x:c r="B63" s="67" t="inlineStr">
        <x:is>
          <x:t xml:space="preserve">Брест</x:t>
        </x:is>
      </x:c>
      <x:c r="C63" s="67" t="inlineStr">
        <x:is>
          <x:t xml:space="preserve">Нападающий</x:t>
        </x:is>
      </x:c>
      <x:c r="D63" s="67" t="inlineStr">
        <x:is>
          <x:t xml:space="preserve">Да</x:t>
        </x:is>
      </x:c>
      <x:c r="E63" s="67" t="inlineStr">
        <x:is>
          <x:t xml:space="preserve">https://r-hockey.ru/team/702-HC_Brest/roster/2025</x:t>
        </x:is>
      </x:c>
    </x:row>
    <x:row r="64">
      <x:c r="A64" s="67" t="inlineStr">
        <x:is>
          <x:t xml:space="preserve">Косов Ярослав</x:t>
        </x:is>
      </x:c>
      <x:c r="B64" s="67" t="inlineStr">
        <x:is>
          <x:t xml:space="preserve">Брест</x:t>
        </x:is>
      </x:c>
      <x:c r="C64" s="67" t="inlineStr">
        <x:is>
          <x:t xml:space="preserve">Нападающий</x:t>
        </x:is>
      </x:c>
      <x:c r="D64" s="67" t="inlineStr">
        <x:is>
          <x:t xml:space="preserve">Да</x:t>
        </x:is>
      </x:c>
      <x:c r="E64" s="67" t="inlineStr">
        <x:is>
          <x:t xml:space="preserve">https://r-hockey.ru/team/702-HC_Brest/roster/2025</x:t>
        </x:is>
      </x:c>
    </x:row>
    <x:row r="65">
      <x:c r="A65" s="67" t="inlineStr">
        <x:is>
          <x:t xml:space="preserve">Кукштель Павел</x:t>
        </x:is>
      </x:c>
      <x:c r="B65" s="67" t="inlineStr">
        <x:is>
          <x:t xml:space="preserve">Брест</x:t>
        </x:is>
      </x:c>
      <x:c r="C65" s="67" t="inlineStr">
        <x:is>
          <x:t xml:space="preserve">Нападающий</x:t>
        </x:is>
      </x:c>
      <x:c r="D65" s="67" t="inlineStr">
        <x:is>
          <x:t xml:space="preserve">Да</x:t>
        </x:is>
      </x:c>
      <x:c r="E65" s="67" t="inlineStr">
        <x:is>
          <x:t xml:space="preserve">https://r-hockey.ru/team/702-HC_Brest/roster/2025</x:t>
        </x:is>
      </x:c>
    </x:row>
    <x:row r="66">
      <x:c r="A66" s="67" t="inlineStr">
        <x:is>
          <x:t xml:space="preserve">Кулиев</x:t>
        </x:is>
      </x:c>
      <x:c r="B66" s="67" t="inlineStr">
        <x:is>
          <x:t xml:space="preserve">Брест</x:t>
        </x:is>
      </x:c>
      <x:c r="C66" s="67" t="inlineStr">
        <x:is>
          <x:t xml:space="preserve">Нападающий</x:t>
        </x:is>
      </x:c>
      <x:c r="D66" s="67" t="inlineStr">
        <x:is>
          <x:t xml:space="preserve">Да</x:t>
        </x:is>
      </x:c>
      <x:c r="E66" s="67" t="inlineStr">
        <x:is>
          <x:t xml:space="preserve">https://r-hockey.ru/team/702-HC_Brest/roster/2025</x:t>
        </x:is>
      </x:c>
    </x:row>
    <x:row r="67">
      <x:c r="A67" s="67" t="inlineStr">
        <x:is>
          <x:t xml:space="preserve">Левша Артем</x:t>
        </x:is>
      </x:c>
      <x:c r="B67" s="67" t="inlineStr">
        <x:is>
          <x:t xml:space="preserve">Брест</x:t>
        </x:is>
      </x:c>
      <x:c r="C67" s="67" t="inlineStr">
        <x:is>
          <x:t xml:space="preserve">Нападающий</x:t>
        </x:is>
      </x:c>
      <x:c r="D67" s="67" t="inlineStr">
        <x:is>
          <x:t xml:space="preserve">Да</x:t>
        </x:is>
      </x:c>
      <x:c r="E67" s="67" t="inlineStr">
        <x:is>
          <x:t xml:space="preserve">https://r-hockey.ru/team/702-HC_Brest/roster/2025</x:t>
        </x:is>
      </x:c>
    </x:row>
    <x:row r="68">
      <x:c r="A68" s="67" t="inlineStr">
        <x:is>
          <x:t xml:space="preserve">Малявко Александр</x:t>
        </x:is>
      </x:c>
      <x:c r="B68" s="67" t="inlineStr">
        <x:is>
          <x:t xml:space="preserve">Брест</x:t>
        </x:is>
      </x:c>
      <x:c r="C68" s="67" t="inlineStr">
        <x:is>
          <x:t xml:space="preserve">Нападающий</x:t>
        </x:is>
      </x:c>
      <x:c r="D68" s="67" t="inlineStr">
        <x:is>
          <x:t xml:space="preserve">Да</x:t>
        </x:is>
      </x:c>
      <x:c r="E68" s="67" t="inlineStr">
        <x:is>
          <x:t xml:space="preserve">https://r-hockey.ru/team/702-HC_Brest/roster/2025</x:t>
        </x:is>
      </x:c>
    </x:row>
    <x:row r="69">
      <x:c r="A69" s="67" t="inlineStr">
        <x:is>
          <x:t xml:space="preserve">Малявко Сергей</x:t>
        </x:is>
      </x:c>
      <x:c r="B69" s="67" t="inlineStr">
        <x:is>
          <x:t xml:space="preserve">Брест</x:t>
        </x:is>
      </x:c>
      <x:c r="C69" s="67" t="inlineStr">
        <x:is>
          <x:t xml:space="preserve">Нападающий</x:t>
        </x:is>
      </x:c>
      <x:c r="D69" s="67" t="inlineStr">
        <x:is>
          <x:t xml:space="preserve">Да</x:t>
        </x:is>
      </x:c>
      <x:c r="E69" s="67" t="inlineStr">
        <x:is>
          <x:t xml:space="preserve">https://r-hockey.ru/team/702-HC_Brest/roster/2025</x:t>
        </x:is>
      </x:c>
    </x:row>
    <x:row r="70">
      <x:c r="A70" s="67" t="inlineStr">
        <x:is>
          <x:t xml:space="preserve">Мельников</x:t>
        </x:is>
      </x:c>
      <x:c r="B70" s="67" t="inlineStr">
        <x:is>
          <x:t xml:space="preserve">Брест</x:t>
        </x:is>
      </x:c>
      <x:c r="C70" s="67" t="inlineStr">
        <x:is>
          <x:t xml:space="preserve">Нападающий</x:t>
        </x:is>
      </x:c>
      <x:c r="D70" s="67" t="inlineStr">
        <x:is>
          <x:t xml:space="preserve">Да</x:t>
        </x:is>
      </x:c>
      <x:c r="E70" s="67" t="inlineStr">
        <x:is>
          <x:t xml:space="preserve">https://r-hockey.ru/team/702-HC_Brest/roster/2025</x:t>
        </x:is>
      </x:c>
    </x:row>
    <x:row r="71">
      <x:c r="A71" s="67" t="inlineStr">
        <x:is>
          <x:t xml:space="preserve">Мельников Максим</x:t>
        </x:is>
      </x:c>
      <x:c r="B71" s="67" t="inlineStr">
        <x:is>
          <x:t xml:space="preserve">Брест</x:t>
        </x:is>
      </x:c>
      <x:c r="C71" s="67" t="inlineStr">
        <x:is>
          <x:t xml:space="preserve">Нападающий</x:t>
        </x:is>
      </x:c>
      <x:c r="D71" s="67" t="inlineStr">
        <x:is>
          <x:t xml:space="preserve">Да</x:t>
        </x:is>
      </x:c>
      <x:c r="E71" s="67" t="inlineStr">
        <x:is>
          <x:t xml:space="preserve">https://r-hockey.ru/team/702-HC_Brest/roster/2025</x:t>
        </x:is>
      </x:c>
    </x:row>
    <x:row r="72">
      <x:c r="A72" s="67" t="inlineStr">
        <x:is>
          <x:t xml:space="preserve">Никитич</x:t>
        </x:is>
      </x:c>
      <x:c r="B72" s="67" t="inlineStr">
        <x:is>
          <x:t xml:space="preserve">Брест</x:t>
        </x:is>
      </x:c>
      <x:c r="C72" s="67" t="inlineStr">
        <x:is>
          <x:t xml:space="preserve">Нападающий</x:t>
        </x:is>
      </x:c>
      <x:c r="D72" s="67" t="inlineStr">
        <x:is>
          <x:t xml:space="preserve">Да</x:t>
        </x:is>
      </x:c>
      <x:c r="E72" s="67" t="inlineStr">
        <x:is>
          <x:t xml:space="preserve">https://r-hockey.ru/team/702-HC_Brest/roster/2025</x:t>
        </x:is>
      </x:c>
    </x:row>
    <x:row r="73">
      <x:c r="A73" s="67" t="inlineStr">
        <x:is>
          <x:t xml:space="preserve">Никитич Артем</x:t>
        </x:is>
      </x:c>
      <x:c r="B73" s="67" t="inlineStr">
        <x:is>
          <x:t xml:space="preserve">Брест</x:t>
        </x:is>
      </x:c>
      <x:c r="C73" s="67" t="inlineStr">
        <x:is>
          <x:t xml:space="preserve">Нападающий</x:t>
        </x:is>
      </x:c>
      <x:c r="D73" s="67" t="inlineStr">
        <x:is>
          <x:t xml:space="preserve">Да</x:t>
        </x:is>
      </x:c>
      <x:c r="E73" s="67" t="inlineStr">
        <x:is>
          <x:t xml:space="preserve">https://r-hockey.ru/team/702-HC_Brest/roster/2025</x:t>
        </x:is>
      </x:c>
    </x:row>
    <x:row r="74">
      <x:c r="A74" s="67" t="inlineStr">
        <x:is>
          <x:t xml:space="preserve">Никулин Кирилл</x:t>
        </x:is>
      </x:c>
      <x:c r="B74" s="67" t="inlineStr">
        <x:is>
          <x:t xml:space="preserve">Брест</x:t>
        </x:is>
      </x:c>
      <x:c r="C74" s="67" t="inlineStr">
        <x:is>
          <x:t xml:space="preserve">Нападающий</x:t>
        </x:is>
      </x:c>
      <x:c r="D74" s="67" t="inlineStr">
        <x:is>
          <x:t xml:space="preserve">Да</x:t>
        </x:is>
      </x:c>
      <x:c r="E74" s="67" t="inlineStr">
        <x:is>
          <x:t xml:space="preserve">https://r-hockey.ru/team/702-HC_Brest/roster/2025</x:t>
        </x:is>
      </x:c>
    </x:row>
    <x:row r="75">
      <x:c r="A75" s="67" t="inlineStr">
        <x:is>
          <x:t xml:space="preserve">Остринский Алексей</x:t>
        </x:is>
      </x:c>
      <x:c r="B75" s="67" t="inlineStr">
        <x:is>
          <x:t xml:space="preserve">Брест</x:t>
        </x:is>
      </x:c>
      <x:c r="C75" s="67" t="inlineStr">
        <x:is>
          <x:t xml:space="preserve">Нападающий</x:t>
        </x:is>
      </x:c>
      <x:c r="D75" s="67" t="inlineStr">
        <x:is>
          <x:t xml:space="preserve">Да</x:t>
        </x:is>
      </x:c>
      <x:c r="E75" s="67" t="inlineStr">
        <x:is>
          <x:t xml:space="preserve">https://r-hockey.ru/team/702-HC_Brest/roster/2025</x:t>
        </x:is>
      </x:c>
    </x:row>
    <x:row r="76">
      <x:c r="A76" s="67" t="inlineStr">
        <x:is>
          <x:t xml:space="preserve">Илья Соловьев</x:t>
        </x:is>
      </x:c>
      <x:c r="B76" s="67" t="inlineStr">
        <x:is>
          <x:t xml:space="preserve">Витебск</x:t>
        </x:is>
      </x:c>
      <x:c r="C76" s="67" t="inlineStr">
        <x:is>
          <x:t xml:space="preserve">Вратарь</x:t>
        </x:is>
      </x:c>
      <x:c r="D76" s="67" t="inlineStr">
        <x:is>
          <x:t xml:space="preserve">Да</x:t>
        </x:is>
      </x:c>
      <x:c r="E76" s="67" t="inlineStr">
        <x:is>
          <x:t xml:space="preserve">https://www.sports.ru/hockey/club/hk-vitebsk/team/</x:t>
        </x:is>
      </x:c>
    </x:row>
    <x:row r="77">
      <x:c r="A77" s="67" t="inlineStr">
        <x:is>
          <x:t xml:space="preserve">Никита Мытник</x:t>
        </x:is>
      </x:c>
      <x:c r="B77" s="67" t="inlineStr">
        <x:is>
          <x:t xml:space="preserve">Витебск</x:t>
        </x:is>
      </x:c>
      <x:c r="C77" s="67" t="inlineStr">
        <x:is>
          <x:t xml:space="preserve">Вратарь</x:t>
        </x:is>
      </x:c>
      <x:c r="D77" s="67" t="inlineStr">
        <x:is>
          <x:t xml:space="preserve">Да</x:t>
        </x:is>
      </x:c>
      <x:c r="E77" s="67" t="inlineStr">
        <x:is>
          <x:t xml:space="preserve">https://www.sports.ru/hockey/club/hk-vitebsk/team/</x:t>
        </x:is>
      </x:c>
    </x:row>
    <x:row r="78">
      <x:c r="A78" s="67" t="inlineStr">
        <x:is>
          <x:t xml:space="preserve">Алексей Слепцов</x:t>
        </x:is>
      </x:c>
      <x:c r="B78" s="67" t="inlineStr">
        <x:is>
          <x:t xml:space="preserve">Витебск</x:t>
        </x:is>
      </x:c>
      <x:c r="C78" s="67" t="inlineStr">
        <x:is>
          <x:t xml:space="preserve">Защитник</x:t>
        </x:is>
      </x:c>
      <x:c r="D78" s="67" t="inlineStr">
        <x:is>
          <x:t xml:space="preserve">Да</x:t>
        </x:is>
      </x:c>
      <x:c r="E78" s="67" t="inlineStr">
        <x:is>
          <x:t xml:space="preserve">https://www.sports.ru/hockey/club/hk-vitebsk/team/</x:t>
        </x:is>
      </x:c>
    </x:row>
    <x:row r="79">
      <x:c r="A79" s="67" t="inlineStr">
        <x:is>
          <x:t xml:space="preserve">Вадим Ерохо</x:t>
        </x:is>
      </x:c>
      <x:c r="B79" s="67" t="inlineStr">
        <x:is>
          <x:t xml:space="preserve">Витебск</x:t>
        </x:is>
      </x:c>
      <x:c r="C79" s="67" t="inlineStr">
        <x:is>
          <x:t xml:space="preserve">Защитник</x:t>
        </x:is>
      </x:c>
      <x:c r="D79" s="67" t="inlineStr">
        <x:is>
          <x:t xml:space="preserve">Да</x:t>
        </x:is>
      </x:c>
      <x:c r="E79" s="67" t="inlineStr">
        <x:is>
          <x:t xml:space="preserve">https://www.sports.ru/hockey/club/hk-vitebsk/team/</x:t>
        </x:is>
      </x:c>
    </x:row>
    <x:row r="80">
      <x:c r="A80" s="67" t="inlineStr">
        <x:is>
          <x:t xml:space="preserve">Владислав Микульчик</x:t>
        </x:is>
      </x:c>
      <x:c r="B80" s="67" t="inlineStr">
        <x:is>
          <x:t xml:space="preserve">Витебск</x:t>
        </x:is>
      </x:c>
      <x:c r="C80" s="67" t="inlineStr">
        <x:is>
          <x:t xml:space="preserve">Защитник</x:t>
        </x:is>
      </x:c>
      <x:c r="D80" s="67" t="inlineStr">
        <x:is>
          <x:t xml:space="preserve">Да</x:t>
        </x:is>
      </x:c>
      <x:c r="E80" s="67" t="inlineStr">
        <x:is>
          <x:t xml:space="preserve">https://www.sports.ru/hockey/club/hk-vitebsk/team/</x:t>
        </x:is>
      </x:c>
    </x:row>
    <x:row r="81">
      <x:c r="A81" s="67" t="inlineStr">
        <x:is>
          <x:t xml:space="preserve">Даниил Мисюль</x:t>
        </x:is>
      </x:c>
      <x:c r="B81" s="67" t="inlineStr">
        <x:is>
          <x:t xml:space="preserve">Витебск</x:t>
        </x:is>
      </x:c>
      <x:c r="C81" s="67" t="inlineStr">
        <x:is>
          <x:t xml:space="preserve">Защитник</x:t>
        </x:is>
      </x:c>
      <x:c r="D81" s="67" t="inlineStr">
        <x:is>
          <x:t xml:space="preserve">Да</x:t>
        </x:is>
      </x:c>
      <x:c r="E81" s="67" t="inlineStr">
        <x:is>
          <x:t xml:space="preserve">https://www.sports.ru/hockey/club/hk-vitebsk/team/</x:t>
        </x:is>
      </x:c>
    </x:row>
    <x:row r="82">
      <x:c r="A82" s="67" t="inlineStr">
        <x:is>
          <x:t xml:space="preserve">Денис Кузьмин</x:t>
        </x:is>
      </x:c>
      <x:c r="B82" s="67" t="inlineStr">
        <x:is>
          <x:t xml:space="preserve">Витебск</x:t>
        </x:is>
      </x:c>
      <x:c r="C82" s="67" t="inlineStr">
        <x:is>
          <x:t xml:space="preserve">Защитник</x:t>
        </x:is>
      </x:c>
      <x:c r="D82" s="67" t="inlineStr">
        <x:is>
          <x:t xml:space="preserve">Да</x:t>
        </x:is>
      </x:c>
      <x:c r="E82" s="67" t="inlineStr">
        <x:is>
          <x:t xml:space="preserve">https://www.sports.ru/hockey/club/hk-vitebsk/team/</x:t>
        </x:is>
      </x:c>
    </x:row>
    <x:row r="83">
      <x:c r="A83" s="67" t="inlineStr">
        <x:is>
          <x:t xml:space="preserve">Евгений Леонов</x:t>
        </x:is>
      </x:c>
      <x:c r="B83" s="67" t="inlineStr">
        <x:is>
          <x:t xml:space="preserve">Витебск</x:t>
        </x:is>
      </x:c>
      <x:c r="C83" s="67" t="inlineStr">
        <x:is>
          <x:t xml:space="preserve">Защитник</x:t>
        </x:is>
      </x:c>
      <x:c r="D83" s="67" t="inlineStr">
        <x:is>
          <x:t xml:space="preserve">Да</x:t>
        </x:is>
      </x:c>
      <x:c r="E83" s="67" t="inlineStr">
        <x:is>
          <x:t xml:space="preserve">https://www.sports.ru/hockey/club/hk-vitebsk/team/</x:t>
        </x:is>
      </x:c>
    </x:row>
    <x:row r="84">
      <x:c r="A84" s="67" t="inlineStr">
        <x:is>
          <x:t xml:space="preserve">Илья Сидорук</x:t>
        </x:is>
      </x:c>
      <x:c r="B84" s="67" t="inlineStr">
        <x:is>
          <x:t xml:space="preserve">Витебск</x:t>
        </x:is>
      </x:c>
      <x:c r="C84" s="67" t="inlineStr">
        <x:is>
          <x:t xml:space="preserve">Защитник</x:t>
        </x:is>
      </x:c>
      <x:c r="D84" s="67" t="inlineStr">
        <x:is>
          <x:t xml:space="preserve">Да</x:t>
        </x:is>
      </x:c>
      <x:c r="E84" s="67" t="inlineStr">
        <x:is>
          <x:t xml:space="preserve">https://www.sports.ru/hockey/club/hk-vitebsk/team/</x:t>
        </x:is>
      </x:c>
    </x:row>
    <x:row r="85">
      <x:c r="A85" s="67" t="inlineStr">
        <x:is>
          <x:t xml:space="preserve">Максим Никитин</x:t>
        </x:is>
      </x:c>
      <x:c r="B85" s="67" t="inlineStr">
        <x:is>
          <x:t xml:space="preserve">Витебск</x:t>
        </x:is>
      </x:c>
      <x:c r="C85" s="67" t="inlineStr">
        <x:is>
          <x:t xml:space="preserve">Защитник</x:t>
        </x:is>
      </x:c>
      <x:c r="D85" s="67" t="inlineStr">
        <x:is>
          <x:t xml:space="preserve">Да</x:t>
        </x:is>
      </x:c>
      <x:c r="E85" s="67" t="inlineStr">
        <x:is>
          <x:t xml:space="preserve">https://www.sports.ru/hockey/club/hk-vitebsk/team/</x:t>
        </x:is>
      </x:c>
    </x:row>
    <x:row r="86">
      <x:c r="A86" s="67" t="inlineStr">
        <x:is>
          <x:t xml:space="preserve">Михаил Листопадов</x:t>
        </x:is>
      </x:c>
      <x:c r="B86" s="67" t="inlineStr">
        <x:is>
          <x:t xml:space="preserve">Витебск</x:t>
        </x:is>
      </x:c>
      <x:c r="C86" s="67" t="inlineStr">
        <x:is>
          <x:t xml:space="preserve">Защитник</x:t>
        </x:is>
      </x:c>
      <x:c r="D86" s="67" t="inlineStr">
        <x:is>
          <x:t xml:space="preserve">Да</x:t>
        </x:is>
      </x:c>
      <x:c r="E86" s="67" t="inlineStr">
        <x:is>
          <x:t xml:space="preserve">https://www.sports.ru/hockey/club/hk-vitebsk/team/</x:t>
        </x:is>
      </x:c>
    </x:row>
    <x:row r="87">
      <x:c r="A87" s="67" t="inlineStr">
        <x:is>
          <x:t xml:space="preserve">Олег Станевич</x:t>
        </x:is>
      </x:c>
      <x:c r="B87" s="67" t="inlineStr">
        <x:is>
          <x:t xml:space="preserve">Витебск</x:t>
        </x:is>
      </x:c>
      <x:c r="C87" s="67" t="inlineStr">
        <x:is>
          <x:t xml:space="preserve">Защитник</x:t>
        </x:is>
      </x:c>
      <x:c r="D87" s="67" t="inlineStr">
        <x:is>
          <x:t xml:space="preserve">Да</x:t>
        </x:is>
      </x:c>
      <x:c r="E87" s="67" t="inlineStr">
        <x:is>
          <x:t xml:space="preserve">https://www.sports.ru/hockey/club/hk-vitebsk/team/</x:t>
        </x:is>
      </x:c>
    </x:row>
    <x:row r="88">
      <x:c r="A88" s="67" t="inlineStr">
        <x:is>
          <x:t xml:space="preserve">Александр Левко</x:t>
        </x:is>
      </x:c>
      <x:c r="B88" s="67" t="inlineStr">
        <x:is>
          <x:t xml:space="preserve">Витебск</x:t>
        </x:is>
      </x:c>
      <x:c r="C88" s="67" t="inlineStr">
        <x:is>
          <x:t xml:space="preserve">Нападающий</x:t>
        </x:is>
      </x:c>
      <x:c r="D88" s="67" t="inlineStr">
        <x:is>
          <x:t xml:space="preserve">Да</x:t>
        </x:is>
      </x:c>
      <x:c r="E88" s="67" t="inlineStr">
        <x:is>
          <x:t xml:space="preserve">https://www.sports.ru/hockey/club/hk-vitebsk/team/</x:t>
        </x:is>
      </x:c>
    </x:row>
    <x:row r="89">
      <x:c r="A89" s="67" t="inlineStr">
        <x:is>
          <x:t xml:space="preserve">Алексей Невидицин</x:t>
        </x:is>
      </x:c>
      <x:c r="B89" s="67" t="inlineStr">
        <x:is>
          <x:t xml:space="preserve">Витебск</x:t>
        </x:is>
      </x:c>
      <x:c r="C89" s="67" t="inlineStr">
        <x:is>
          <x:t xml:space="preserve">Нападающий</x:t>
        </x:is>
      </x:c>
      <x:c r="D89" s="67" t="inlineStr">
        <x:is>
          <x:t xml:space="preserve">Да</x:t>
        </x:is>
      </x:c>
      <x:c r="E89" s="67" t="inlineStr">
        <x:is>
          <x:t xml:space="preserve">https://www.sports.ru/hockey/club/hk-vitebsk/team/</x:t>
        </x:is>
      </x:c>
    </x:row>
    <x:row r="90">
      <x:c r="A90" s="67" t="inlineStr">
        <x:is>
          <x:t xml:space="preserve">Артур Гильманов</x:t>
        </x:is>
      </x:c>
      <x:c r="B90" s="67" t="inlineStr">
        <x:is>
          <x:t xml:space="preserve">Витебск</x:t>
        </x:is>
      </x:c>
      <x:c r="C90" s="67" t="inlineStr">
        <x:is>
          <x:t xml:space="preserve">Нападающий</x:t>
        </x:is>
      </x:c>
      <x:c r="D90" s="67" t="inlineStr">
        <x:is>
          <x:t xml:space="preserve">Да</x:t>
        </x:is>
      </x:c>
      <x:c r="E90" s="67" t="inlineStr">
        <x:is>
          <x:t xml:space="preserve">https://www.sports.ru/hockey/club/hk-vitebsk/team/</x:t>
        </x:is>
      </x:c>
    </x:row>
    <x:row r="91">
      <x:c r="A91" s="67" t="inlineStr">
        <x:is>
          <x:t xml:space="preserve">Владислав Ковалевич</x:t>
        </x:is>
      </x:c>
      <x:c r="B91" s="67" t="inlineStr">
        <x:is>
          <x:t xml:space="preserve">Витебск</x:t>
        </x:is>
      </x:c>
      <x:c r="C91" s="67" t="inlineStr">
        <x:is>
          <x:t xml:space="preserve">Нападающий</x:t>
        </x:is>
      </x:c>
      <x:c r="D91" s="67" t="inlineStr">
        <x:is>
          <x:t xml:space="preserve">Да</x:t>
        </x:is>
      </x:c>
      <x:c r="E91" s="67" t="inlineStr">
        <x:is>
          <x:t xml:space="preserve">https://www.sports.ru/hockey/club/hk-vitebsk/team/</x:t>
        </x:is>
      </x:c>
    </x:row>
    <x:row r="92">
      <x:c r="A92" s="67" t="inlineStr">
        <x:is>
          <x:t xml:space="preserve">Глеб Шкапцов</x:t>
        </x:is>
      </x:c>
      <x:c r="B92" s="67" t="inlineStr">
        <x:is>
          <x:t xml:space="preserve">Витебск</x:t>
        </x:is>
      </x:c>
      <x:c r="C92" s="67" t="inlineStr">
        <x:is>
          <x:t xml:space="preserve">Нападающий</x:t>
        </x:is>
      </x:c>
      <x:c r="D92" s="67" t="inlineStr">
        <x:is>
          <x:t xml:space="preserve">Да</x:t>
        </x:is>
      </x:c>
      <x:c r="E92" s="67" t="inlineStr">
        <x:is>
          <x:t xml:space="preserve">https://www.sports.ru/hockey/club/hk-vitebsk/team/</x:t>
        </x:is>
      </x:c>
    </x:row>
    <x:row r="93">
      <x:c r="A93" s="67" t="inlineStr">
        <x:is>
          <x:t xml:space="preserve">Денис Пасеко</x:t>
        </x:is>
      </x:c>
      <x:c r="B93" s="67" t="inlineStr">
        <x:is>
          <x:t xml:space="preserve">Витебск</x:t>
        </x:is>
      </x:c>
      <x:c r="C93" s="67" t="inlineStr">
        <x:is>
          <x:t xml:space="preserve">Нападающий</x:t>
        </x:is>
      </x:c>
      <x:c r="D93" s="67" t="inlineStr">
        <x:is>
          <x:t xml:space="preserve">Да</x:t>
        </x:is>
      </x:c>
      <x:c r="E93" s="67" t="inlineStr">
        <x:is>
          <x:t xml:space="preserve">https://www.sports.ru/hockey/club/hk-vitebsk/team/</x:t>
        </x:is>
      </x:c>
    </x:row>
    <x:row r="94">
      <x:c r="A94" s="67" t="inlineStr">
        <x:is>
          <x:t xml:space="preserve">Егор Егоров</x:t>
        </x:is>
      </x:c>
      <x:c r="B94" s="67" t="inlineStr">
        <x:is>
          <x:t xml:space="preserve">Витебск</x:t>
        </x:is>
      </x:c>
      <x:c r="C94" s="67" t="inlineStr">
        <x:is>
          <x:t xml:space="preserve">Нападающий</x:t>
        </x:is>
      </x:c>
      <x:c r="D94" s="67" t="inlineStr">
        <x:is>
          <x:t xml:space="preserve">Да</x:t>
        </x:is>
      </x:c>
      <x:c r="E94" s="67" t="inlineStr">
        <x:is>
          <x:t xml:space="preserve">https://www.sports.ru/hockey/club/hk-vitebsk/team/</x:t>
        </x:is>
      </x:c>
    </x:row>
    <x:row r="95">
      <x:c r="A95" s="67" t="inlineStr">
        <x:is>
          <x:t xml:space="preserve">Илья Камбович</x:t>
        </x:is>
      </x:c>
      <x:c r="B95" s="67" t="inlineStr">
        <x:is>
          <x:t xml:space="preserve">Витебск</x:t>
        </x:is>
      </x:c>
      <x:c r="C95" s="67" t="inlineStr">
        <x:is>
          <x:t xml:space="preserve">Нападающий</x:t>
        </x:is>
      </x:c>
      <x:c r="D95" s="67" t="inlineStr">
        <x:is>
          <x:t xml:space="preserve">Да</x:t>
        </x:is>
      </x:c>
      <x:c r="E95" s="67" t="inlineStr">
        <x:is>
          <x:t xml:space="preserve">https://www.sports.ru/hockey/club/hk-vitebsk/team/</x:t>
        </x:is>
      </x:c>
    </x:row>
    <x:row r="96">
      <x:c r="A96" s="67" t="inlineStr">
        <x:is>
          <x:t xml:space="preserve">Магомед Гимбатов</x:t>
        </x:is>
      </x:c>
      <x:c r="B96" s="67" t="inlineStr">
        <x:is>
          <x:t xml:space="preserve">Витебск</x:t>
        </x:is>
      </x:c>
      <x:c r="C96" s="67" t="inlineStr">
        <x:is>
          <x:t xml:space="preserve">Нападающий</x:t>
        </x:is>
      </x:c>
      <x:c r="D96" s="67" t="inlineStr">
        <x:is>
          <x:t xml:space="preserve">Да</x:t>
        </x:is>
      </x:c>
      <x:c r="E96" s="67" t="inlineStr">
        <x:is>
          <x:t xml:space="preserve">https://www.sports.ru/hockey/club/hk-vitebsk/team/</x:t>
        </x:is>
      </x:c>
    </x:row>
    <x:row r="97">
      <x:c r="A97" s="67" t="inlineStr">
        <x:is>
          <x:t xml:space="preserve">Максим Лемешевский</x:t>
        </x:is>
      </x:c>
      <x:c r="B97" s="67" t="inlineStr">
        <x:is>
          <x:t xml:space="preserve">Витебск</x:t>
        </x:is>
      </x:c>
      <x:c r="C97" s="67" t="inlineStr">
        <x:is>
          <x:t xml:space="preserve">Нападающий</x:t>
        </x:is>
      </x:c>
      <x:c r="D97" s="67" t="inlineStr">
        <x:is>
          <x:t xml:space="preserve">Да</x:t>
        </x:is>
      </x:c>
      <x:c r="E97" s="67" t="inlineStr">
        <x:is>
          <x:t xml:space="preserve">https://www.sports.ru/hockey/club/hk-vitebsk/team/</x:t>
        </x:is>
      </x:c>
    </x:row>
    <x:row r="98">
      <x:c r="A98" s="67" t="inlineStr">
        <x:is>
          <x:t xml:space="preserve">Никита Карабацкий</x:t>
        </x:is>
      </x:c>
      <x:c r="B98" s="67" t="inlineStr">
        <x:is>
          <x:t xml:space="preserve">Витебск</x:t>
        </x:is>
      </x:c>
      <x:c r="C98" s="67" t="inlineStr">
        <x:is>
          <x:t xml:space="preserve">Нападающий</x:t>
        </x:is>
      </x:c>
      <x:c r="D98" s="67" t="inlineStr">
        <x:is>
          <x:t xml:space="preserve">Да</x:t>
        </x:is>
      </x:c>
      <x:c r="E98" s="67" t="inlineStr">
        <x:is>
          <x:t xml:space="preserve">https://www.sports.ru/hockey/club/hk-vitebsk/team/</x:t>
        </x:is>
      </x:c>
    </x:row>
    <x:row r="99">
      <x:c r="A99" s="67" t="inlineStr">
        <x:is>
          <x:t xml:space="preserve">Никита Синельников</x:t>
        </x:is>
      </x:c>
      <x:c r="B99" s="67" t="inlineStr">
        <x:is>
          <x:t xml:space="preserve">Витебск</x:t>
        </x:is>
      </x:c>
      <x:c r="C99" s="67" t="inlineStr">
        <x:is>
          <x:t xml:space="preserve">Нападающий</x:t>
        </x:is>
      </x:c>
      <x:c r="D99" s="67" t="inlineStr">
        <x:is>
          <x:t xml:space="preserve">Да</x:t>
        </x:is>
      </x:c>
      <x:c r="E99" s="67" t="inlineStr">
        <x:is>
          <x:t xml:space="preserve">https://www.sports.ru/hockey/club/hk-vitebsk/team/</x:t>
        </x:is>
      </x:c>
    </x:row>
    <x:row r="100">
      <x:c r="A100" s="67" t="inlineStr">
        <x:is>
          <x:t xml:space="preserve">Никита Сошнин</x:t>
        </x:is>
      </x:c>
      <x:c r="B100" s="67" t="inlineStr">
        <x:is>
          <x:t xml:space="preserve">Витебск</x:t>
        </x:is>
      </x:c>
      <x:c r="C100" s="67" t="inlineStr">
        <x:is>
          <x:t xml:space="preserve">Нападающий</x:t>
        </x:is>
      </x:c>
      <x:c r="D100" s="67" t="inlineStr">
        <x:is>
          <x:t xml:space="preserve">Да</x:t>
        </x:is>
      </x:c>
      <x:c r="E100" s="67" t="inlineStr">
        <x:is>
          <x:t xml:space="preserve">https://www.sports.ru/hockey/club/hk-vitebsk/team/</x:t>
        </x:is>
      </x:c>
    </x:row>
    <x:row r="101">
      <x:c r="A101" s="67" t="inlineStr">
        <x:is>
          <x:t xml:space="preserve">Никита Ядроец</x:t>
        </x:is>
      </x:c>
      <x:c r="B101" s="67" t="inlineStr">
        <x:is>
          <x:t xml:space="preserve">Витебск</x:t>
        </x:is>
      </x:c>
      <x:c r="C101" s="67" t="inlineStr">
        <x:is>
          <x:t xml:space="preserve">Нападающий</x:t>
        </x:is>
      </x:c>
      <x:c r="D101" s="67" t="inlineStr">
        <x:is>
          <x:t xml:space="preserve">Да</x:t>
        </x:is>
      </x:c>
      <x:c r="E101" s="67" t="inlineStr">
        <x:is>
          <x:t xml:space="preserve">https://www.sports.ru/hockey/club/hk-vitebsk/team/</x:t>
        </x:is>
      </x:c>
    </x:row>
    <x:row r="102">
      <x:c r="A102" s="67" t="inlineStr">
        <x:is>
          <x:t xml:space="preserve">Николай Баранов</x:t>
        </x:is>
      </x:c>
      <x:c r="B102" s="67" t="inlineStr">
        <x:is>
          <x:t xml:space="preserve">Витебск</x:t>
        </x:is>
      </x:c>
      <x:c r="C102" s="67" t="inlineStr">
        <x:is>
          <x:t xml:space="preserve">Нападающий</x:t>
        </x:is>
      </x:c>
      <x:c r="D102" s="67" t="inlineStr">
        <x:is>
          <x:t xml:space="preserve">Да</x:t>
        </x:is>
      </x:c>
      <x:c r="E102" s="67" t="inlineStr">
        <x:is>
          <x:t xml:space="preserve">https://www.sports.ru/hockey/club/hk-vitebsk/team/</x:t>
        </x:is>
      </x:c>
    </x:row>
    <x:row r="103">
      <x:c r="A103" s="67" t="inlineStr">
        <x:is>
          <x:t xml:space="preserve">Павел Мусиенко</x:t>
        </x:is>
      </x:c>
      <x:c r="B103" s="67" t="inlineStr">
        <x:is>
          <x:t xml:space="preserve">Витебск</x:t>
        </x:is>
      </x:c>
      <x:c r="C103" s="67" t="inlineStr">
        <x:is>
          <x:t xml:space="preserve">Нападающий</x:t>
        </x:is>
      </x:c>
      <x:c r="D103" s="67" t="inlineStr">
        <x:is>
          <x:t xml:space="preserve">Да</x:t>
        </x:is>
      </x:c>
      <x:c r="E103" s="67" t="inlineStr">
        <x:is>
          <x:t xml:space="preserve">https://www.sports.ru/hockey/club/hk-vitebsk/team/</x:t>
        </x:is>
      </x:c>
    </x:row>
    <x:row r="104">
      <x:c r="A104" s="67" t="inlineStr">
        <x:is>
          <x:t xml:space="preserve">Роман Серафимович</x:t>
        </x:is>
      </x:c>
      <x:c r="B104" s="67" t="inlineStr">
        <x:is>
          <x:t xml:space="preserve">Витебск</x:t>
        </x:is>
      </x:c>
      <x:c r="C104" s="67" t="inlineStr">
        <x:is>
          <x:t xml:space="preserve">Нападающий</x:t>
        </x:is>
      </x:c>
      <x:c r="D104" s="67" t="inlineStr">
        <x:is>
          <x:t xml:space="preserve">Да</x:t>
        </x:is>
      </x:c>
      <x:c r="E104" s="67" t="inlineStr">
        <x:is>
          <x:t xml:space="preserve">https://www.sports.ru/hockey/club/hk-vitebsk/team/</x:t>
        </x:is>
      </x:c>
    </x:row>
    <x:row r="105">
      <x:c r="A105" s="67" t="inlineStr">
        <x:is>
          <x:t xml:space="preserve">Сергей Карпович</x:t>
        </x:is>
      </x:c>
      <x:c r="B105" s="67" t="inlineStr">
        <x:is>
          <x:t xml:space="preserve">Витебск</x:t>
        </x:is>
      </x:c>
      <x:c r="C105" s="67" t="inlineStr">
        <x:is>
          <x:t xml:space="preserve">Нападающий</x:t>
        </x:is>
      </x:c>
      <x:c r="D105" s="67" t="inlineStr">
        <x:is>
          <x:t xml:space="preserve">Да</x:t>
        </x:is>
      </x:c>
      <x:c r="E105" s="67" t="inlineStr">
        <x:is>
          <x:t xml:space="preserve">https://www.sports.ru/hockey/club/hk-vitebsk/team/</x:t>
        </x:is>
      </x:c>
    </x:row>
    <x:row r="106">
      <x:c r="A106" s="67" t="inlineStr">
        <x:is>
          <x:t xml:space="preserve">Андрей Грищенко</x:t>
        </x:is>
      </x:c>
      <x:c r="B106" s="67" t="inlineStr">
        <x:is>
          <x:t xml:space="preserve">Гомель</x:t>
        </x:is>
      </x:c>
      <x:c r="C106" s="67" t="inlineStr">
        <x:is>
          <x:t xml:space="preserve">Вратарь</x:t>
        </x:is>
      </x:c>
      <x:c r="D106" s="67" t="inlineStr">
        <x:is>
          <x:t xml:space="preserve">Да</x:t>
        </x:is>
      </x:c>
      <x:c r="E106" s="67" t="inlineStr">
        <x:is>
          <x:t xml:space="preserve">https://www.sports.ru/hockey/club/gomel/team/</x:t>
        </x:is>
      </x:c>
    </x:row>
    <x:row r="107">
      <x:c r="A107" s="67" t="inlineStr">
        <x:is>
          <x:t xml:space="preserve">Дмитрий Талюк</x:t>
        </x:is>
      </x:c>
      <x:c r="B107" s="67" t="inlineStr">
        <x:is>
          <x:t xml:space="preserve">Гомель</x:t>
        </x:is>
      </x:c>
      <x:c r="C107" s="67" t="inlineStr">
        <x:is>
          <x:t xml:space="preserve">Вратарь</x:t>
        </x:is>
      </x:c>
      <x:c r="D107" s="67" t="inlineStr">
        <x:is>
          <x:t xml:space="preserve">Да</x:t>
        </x:is>
      </x:c>
      <x:c r="E107" s="67" t="inlineStr">
        <x:is>
          <x:t xml:space="preserve">https://www.sports.ru/hockey/club/gomel/team/</x:t>
        </x:is>
      </x:c>
    </x:row>
    <x:row r="108">
      <x:c r="A108" s="67" t="inlineStr">
        <x:is>
          <x:t xml:space="preserve">Максим Лубский</x:t>
        </x:is>
      </x:c>
      <x:c r="B108" s="67" t="inlineStr">
        <x:is>
          <x:t xml:space="preserve">Гомель</x:t>
        </x:is>
      </x:c>
      <x:c r="C108" s="67" t="inlineStr">
        <x:is>
          <x:t xml:space="preserve">Вратарь</x:t>
        </x:is>
      </x:c>
      <x:c r="D108" s="67" t="inlineStr">
        <x:is>
          <x:t xml:space="preserve">Да</x:t>
        </x:is>
      </x:c>
      <x:c r="E108" s="67" t="inlineStr">
        <x:is>
          <x:t xml:space="preserve">https://www.sports.ru/hockey/club/gomel/team/</x:t>
        </x:is>
      </x:c>
    </x:row>
    <x:row r="109">
      <x:c r="A109" s="67" t="inlineStr">
        <x:is>
          <x:t xml:space="preserve">Александр Долгополов</x:t>
        </x:is>
      </x:c>
      <x:c r="B109" s="67" t="inlineStr">
        <x:is>
          <x:t xml:space="preserve">Гомель</x:t>
        </x:is>
      </x:c>
      <x:c r="C109" s="67" t="inlineStr">
        <x:is>
          <x:t xml:space="preserve">Защитник</x:t>
        </x:is>
      </x:c>
      <x:c r="D109" s="67" t="inlineStr">
        <x:is>
          <x:t xml:space="preserve">Да</x:t>
        </x:is>
      </x:c>
      <x:c r="E109" s="67" t="inlineStr">
        <x:is>
          <x:t xml:space="preserve">https://www.sports.ru/hockey/club/gomel/team/</x:t>
        </x:is>
      </x:c>
    </x:row>
    <x:row r="110">
      <x:c r="A110" s="67" t="inlineStr">
        <x:is>
          <x:t xml:space="preserve">Вадим Сушко</x:t>
        </x:is>
      </x:c>
      <x:c r="B110" s="67" t="inlineStr">
        <x:is>
          <x:t xml:space="preserve">Гомель</x:t>
        </x:is>
      </x:c>
      <x:c r="C110" s="67" t="inlineStr">
        <x:is>
          <x:t xml:space="preserve">Защитник</x:t>
        </x:is>
      </x:c>
      <x:c r="D110" s="67" t="inlineStr">
        <x:is>
          <x:t xml:space="preserve">Да</x:t>
        </x:is>
      </x:c>
      <x:c r="E110" s="67" t="inlineStr">
        <x:is>
          <x:t xml:space="preserve">https://www.sports.ru/hockey/club/gomel/team/</x:t>
        </x:is>
      </x:c>
    </x:row>
    <x:row r="111">
      <x:c r="A111" s="67" t="inlineStr">
        <x:is>
          <x:t xml:space="preserve">Дмитрий Иванчиков</x:t>
        </x:is>
      </x:c>
      <x:c r="B111" s="67" t="inlineStr">
        <x:is>
          <x:t xml:space="preserve">Гомель</x:t>
        </x:is>
      </x:c>
      <x:c r="C111" s="67" t="inlineStr">
        <x:is>
          <x:t xml:space="preserve">Защитник</x:t>
        </x:is>
      </x:c>
      <x:c r="D111" s="67" t="inlineStr">
        <x:is>
          <x:t xml:space="preserve">Да</x:t>
        </x:is>
      </x:c>
      <x:c r="E111" s="67" t="inlineStr">
        <x:is>
          <x:t xml:space="preserve">https://www.sports.ru/hockey/club/gomel/team/</x:t>
        </x:is>
      </x:c>
    </x:row>
    <x:row r="112">
      <x:c r="A112" s="67" t="inlineStr">
        <x:is>
          <x:t xml:space="preserve">Егор Иванов</x:t>
        </x:is>
      </x:c>
      <x:c r="B112" s="67" t="inlineStr">
        <x:is>
          <x:t xml:space="preserve">Гомель</x:t>
        </x:is>
      </x:c>
      <x:c r="C112" s="67" t="inlineStr">
        <x:is>
          <x:t xml:space="preserve">Защитник</x:t>
        </x:is>
      </x:c>
      <x:c r="D112" s="67" t="inlineStr">
        <x:is>
          <x:t xml:space="preserve">Да</x:t>
        </x:is>
      </x:c>
      <x:c r="E112" s="67" t="inlineStr">
        <x:is>
          <x:t xml:space="preserve">https://www.sports.ru/hockey/club/gomel/team/</x:t>
        </x:is>
      </x:c>
    </x:row>
    <x:row r="113">
      <x:c r="A113" s="67" t="inlineStr">
        <x:is>
          <x:t xml:space="preserve">Максим Магалецкий</x:t>
        </x:is>
      </x:c>
      <x:c r="B113" s="67" t="inlineStr">
        <x:is>
          <x:t xml:space="preserve">Гомель</x:t>
        </x:is>
      </x:c>
      <x:c r="C113" s="67" t="inlineStr">
        <x:is>
          <x:t xml:space="preserve">Защитник</x:t>
        </x:is>
      </x:c>
      <x:c r="D113" s="67" t="inlineStr">
        <x:is>
          <x:t xml:space="preserve">Да</x:t>
        </x:is>
      </x:c>
      <x:c r="E113" s="67" t="inlineStr">
        <x:is>
          <x:t xml:space="preserve">https://www.sports.ru/hockey/club/gomel/team/</x:t>
        </x:is>
      </x:c>
    </x:row>
    <x:row r="114">
      <x:c r="A114" s="67" t="inlineStr">
        <x:is>
          <x:t xml:space="preserve">Михаил Ковалев</x:t>
        </x:is>
      </x:c>
      <x:c r="B114" s="67" t="inlineStr">
        <x:is>
          <x:t xml:space="preserve">Гомель</x:t>
        </x:is>
      </x:c>
      <x:c r="C114" s="67" t="inlineStr">
        <x:is>
          <x:t xml:space="preserve">Защитник</x:t>
        </x:is>
      </x:c>
      <x:c r="D114" s="67" t="inlineStr">
        <x:is>
          <x:t xml:space="preserve">Да</x:t>
        </x:is>
      </x:c>
      <x:c r="E114" s="67" t="inlineStr">
        <x:is>
          <x:t xml:space="preserve">https://www.sports.ru/hockey/club/gomel/team/</x:t>
        </x:is>
      </x:c>
    </x:row>
    <x:row r="115">
      <x:c r="A115" s="67" t="inlineStr">
        <x:is>
          <x:t xml:space="preserve">Михаил Чурляев</x:t>
        </x:is>
      </x:c>
      <x:c r="B115" s="67" t="inlineStr">
        <x:is>
          <x:t xml:space="preserve">Гомель</x:t>
        </x:is>
      </x:c>
      <x:c r="C115" s="67" t="inlineStr">
        <x:is>
          <x:t xml:space="preserve">Защитник</x:t>
        </x:is>
      </x:c>
      <x:c r="D115" s="67" t="inlineStr">
        <x:is>
          <x:t xml:space="preserve">Да</x:t>
        </x:is>
      </x:c>
      <x:c r="E115" s="67" t="inlineStr">
        <x:is>
          <x:t xml:space="preserve">https://www.sports.ru/hockey/club/gomel/team/</x:t>
        </x:is>
      </x:c>
    </x:row>
    <x:row r="116">
      <x:c r="A116" s="67" t="inlineStr">
        <x:is>
          <x:t xml:space="preserve">Никита Стасенко</x:t>
        </x:is>
      </x:c>
      <x:c r="B116" s="67" t="inlineStr">
        <x:is>
          <x:t xml:space="preserve">Гомель</x:t>
        </x:is>
      </x:c>
      <x:c r="C116" s="67" t="inlineStr">
        <x:is>
          <x:t xml:space="preserve">Защитник</x:t>
        </x:is>
      </x:c>
      <x:c r="D116" s="67" t="inlineStr">
        <x:is>
          <x:t xml:space="preserve">Да</x:t>
        </x:is>
      </x:c>
      <x:c r="E116" s="67" t="inlineStr">
        <x:is>
          <x:t xml:space="preserve">https://www.sports.ru/hockey/club/gomel/team/</x:t>
        </x:is>
      </x:c>
    </x:row>
    <x:row r="117">
      <x:c r="A117" s="67" t="inlineStr">
        <x:is>
          <x:t xml:space="preserve">Никита Устиненко</x:t>
        </x:is>
      </x:c>
      <x:c r="B117" s="67" t="inlineStr">
        <x:is>
          <x:t xml:space="preserve">Гомель</x:t>
        </x:is>
      </x:c>
      <x:c r="C117" s="67" t="inlineStr">
        <x:is>
          <x:t xml:space="preserve">Защитник</x:t>
        </x:is>
      </x:c>
      <x:c r="D117" s="67" t="inlineStr">
        <x:is>
          <x:t xml:space="preserve">Да</x:t>
        </x:is>
      </x:c>
      <x:c r="E117" s="67" t="inlineStr">
        <x:is>
          <x:t xml:space="preserve">https://www.sports.ru/hockey/club/gomel/team/</x:t>
        </x:is>
      </x:c>
    </x:row>
    <x:row r="118">
      <x:c r="A118" s="67" t="inlineStr">
        <x:is>
          <x:t xml:space="preserve">Павел Воронов</x:t>
        </x:is>
      </x:c>
      <x:c r="B118" s="67" t="inlineStr">
        <x:is>
          <x:t xml:space="preserve">Гомель</x:t>
        </x:is>
      </x:c>
      <x:c r="C118" s="67" t="inlineStr">
        <x:is>
          <x:t xml:space="preserve">Защитник</x:t>
        </x:is>
      </x:c>
      <x:c r="D118" s="67" t="inlineStr">
        <x:is>
          <x:t xml:space="preserve">Да</x:t>
        </x:is>
      </x:c>
      <x:c r="E118" s="67" t="inlineStr">
        <x:is>
          <x:t xml:space="preserve">https://www.sports.ru/hockey/club/gomel/team/</x:t>
        </x:is>
      </x:c>
    </x:row>
    <x:row r="119">
      <x:c r="A119" s="67" t="inlineStr">
        <x:is>
          <x:t xml:space="preserve">Александр Дельнов</x:t>
        </x:is>
      </x:c>
      <x:c r="B119" s="67" t="inlineStr">
        <x:is>
          <x:t xml:space="preserve">Гомель</x:t>
        </x:is>
      </x:c>
      <x:c r="C119" s="67" t="inlineStr">
        <x:is>
          <x:t xml:space="preserve">Нападающий</x:t>
        </x:is>
      </x:c>
      <x:c r="D119" s="67" t="inlineStr">
        <x:is>
          <x:t xml:space="preserve">Да</x:t>
        </x:is>
      </x:c>
      <x:c r="E119" s="67" t="inlineStr">
        <x:is>
          <x:t xml:space="preserve">https://www.sports.ru/hockey/club/gomel/team/</x:t>
        </x:is>
      </x:c>
    </x:row>
    <x:row r="120">
      <x:c r="A120" s="67" t="inlineStr">
        <x:is>
          <x:t xml:space="preserve">Алексей Кудрявцев</x:t>
        </x:is>
      </x:c>
      <x:c r="B120" s="67" t="inlineStr">
        <x:is>
          <x:t xml:space="preserve">Гомель</x:t>
        </x:is>
      </x:c>
      <x:c r="C120" s="67" t="inlineStr">
        <x:is>
          <x:t xml:space="preserve">Нападающий</x:t>
        </x:is>
      </x:c>
      <x:c r="D120" s="67" t="inlineStr">
        <x:is>
          <x:t xml:space="preserve">Да</x:t>
        </x:is>
      </x:c>
      <x:c r="E120" s="67" t="inlineStr">
        <x:is>
          <x:t xml:space="preserve">https://www.sports.ru/hockey/club/gomel/team/</x:t>
        </x:is>
      </x:c>
    </x:row>
    <x:row r="121">
      <x:c r="A121" s="67" t="inlineStr">
        <x:is>
          <x:t xml:space="preserve">Владислав Бойко</x:t>
        </x:is>
      </x:c>
      <x:c r="B121" s="67" t="inlineStr">
        <x:is>
          <x:t xml:space="preserve">Гомель</x:t>
        </x:is>
      </x:c>
      <x:c r="C121" s="67" t="inlineStr">
        <x:is>
          <x:t xml:space="preserve">Нападающий</x:t>
        </x:is>
      </x:c>
      <x:c r="D121" s="67" t="inlineStr">
        <x:is>
          <x:t xml:space="preserve">Да</x:t>
        </x:is>
      </x:c>
      <x:c r="E121" s="67" t="inlineStr">
        <x:is>
          <x:t xml:space="preserve">https://www.sports.ru/hockey/club/gomel/team/</x:t>
        </x:is>
      </x:c>
    </x:row>
    <x:row r="122">
      <x:c r="A122" s="67" t="inlineStr">
        <x:is>
          <x:t xml:space="preserve">Данила Овсянников</x:t>
        </x:is>
      </x:c>
      <x:c r="B122" s="67" t="inlineStr">
        <x:is>
          <x:t xml:space="preserve">Гомель</x:t>
        </x:is>
      </x:c>
      <x:c r="C122" s="67" t="inlineStr">
        <x:is>
          <x:t xml:space="preserve">Нападающий</x:t>
        </x:is>
      </x:c>
      <x:c r="D122" s="67" t="inlineStr">
        <x:is>
          <x:t xml:space="preserve">Да</x:t>
        </x:is>
      </x:c>
      <x:c r="E122" s="67" t="inlineStr">
        <x:is>
          <x:t xml:space="preserve">https://www.sports.ru/hockey/club/gomel/team/</x:t>
        </x:is>
      </x:c>
    </x:row>
    <x:row r="123">
      <x:c r="A123" s="67" t="inlineStr">
        <x:is>
          <x:t xml:space="preserve">Дмитрий Амброжейчик</x:t>
        </x:is>
      </x:c>
      <x:c r="B123" s="67" t="inlineStr">
        <x:is>
          <x:t xml:space="preserve">Гомель</x:t>
        </x:is>
      </x:c>
      <x:c r="C123" s="67" t="inlineStr">
        <x:is>
          <x:t xml:space="preserve">Нападающий</x:t>
        </x:is>
      </x:c>
      <x:c r="D123" s="67" t="inlineStr">
        <x:is>
          <x:t xml:space="preserve">Да</x:t>
        </x:is>
      </x:c>
      <x:c r="E123" s="67" t="inlineStr">
        <x:is>
          <x:t xml:space="preserve">https://www.sports.ru/hockey/club/gomel/team/</x:t>
        </x:is>
      </x:c>
    </x:row>
    <x:row r="124">
      <x:c r="A124" s="67" t="inlineStr">
        <x:is>
          <x:t xml:space="preserve">Евгений Дадонов</x:t>
        </x:is>
      </x:c>
      <x:c r="B124" s="67" t="inlineStr">
        <x:is>
          <x:t xml:space="preserve">Гомель</x:t>
        </x:is>
      </x:c>
      <x:c r="C124" s="67" t="inlineStr">
        <x:is>
          <x:t xml:space="preserve">Нападающий</x:t>
        </x:is>
      </x:c>
      <x:c r="D124" s="67" t="inlineStr">
        <x:is>
          <x:t xml:space="preserve">Да</x:t>
        </x:is>
      </x:c>
      <x:c r="E124" s="67" t="inlineStr">
        <x:is>
          <x:t xml:space="preserve">https://www.sports.ru/hockey/club/gomel/team/</x:t>
        </x:is>
      </x:c>
    </x:row>
    <x:row r="125">
      <x:c r="A125" s="67" t="inlineStr">
        <x:is>
          <x:t xml:space="preserve">Игорь Карабанов</x:t>
        </x:is>
      </x:c>
      <x:c r="B125" s="67" t="inlineStr">
        <x:is>
          <x:t xml:space="preserve">Гомель</x:t>
        </x:is>
      </x:c>
      <x:c r="C125" s="67" t="inlineStr">
        <x:is>
          <x:t xml:space="preserve">Нападающий</x:t>
        </x:is>
      </x:c>
      <x:c r="D125" s="67" t="inlineStr">
        <x:is>
          <x:t xml:space="preserve">Да</x:t>
        </x:is>
      </x:c>
      <x:c r="E125" s="67" t="inlineStr">
        <x:is>
          <x:t xml:space="preserve">https://www.sports.ru/hockey/club/gomel/team/</x:t>
        </x:is>
      </x:c>
    </x:row>
    <x:row r="126">
      <x:c r="A126" s="67" t="inlineStr">
        <x:is>
          <x:t xml:space="preserve">Игорь Ревенко</x:t>
        </x:is>
      </x:c>
      <x:c r="B126" s="67" t="inlineStr">
        <x:is>
          <x:t xml:space="preserve">Гомель</x:t>
        </x:is>
      </x:c>
      <x:c r="C126" s="67" t="inlineStr">
        <x:is>
          <x:t xml:space="preserve">Нападающий</x:t>
        </x:is>
      </x:c>
      <x:c r="D126" s="67" t="inlineStr">
        <x:is>
          <x:t xml:space="preserve">Да</x:t>
        </x:is>
      </x:c>
      <x:c r="E126" s="67" t="inlineStr">
        <x:is>
          <x:t xml:space="preserve">https://www.sports.ru/hockey/club/gomel/team/</x:t>
        </x:is>
      </x:c>
    </x:row>
    <x:row r="127">
      <x:c r="A127" s="67" t="inlineStr">
        <x:is>
          <x:t xml:space="preserve">Илья Жуковский</x:t>
        </x:is>
      </x:c>
      <x:c r="B127" s="67" t="inlineStr">
        <x:is>
          <x:t xml:space="preserve">Гомель</x:t>
        </x:is>
      </x:c>
      <x:c r="C127" s="67" t="inlineStr">
        <x:is>
          <x:t xml:space="preserve">Нападающий</x:t>
        </x:is>
      </x:c>
      <x:c r="D127" s="67" t="inlineStr">
        <x:is>
          <x:t xml:space="preserve">Да</x:t>
        </x:is>
      </x:c>
      <x:c r="E127" s="67" t="inlineStr">
        <x:is>
          <x:t xml:space="preserve">https://www.sports.ru/hockey/club/gomel/team/</x:t>
        </x:is>
      </x:c>
    </x:row>
    <x:row r="128">
      <x:c r="A128" s="67" t="inlineStr">
        <x:is>
          <x:t xml:space="preserve">Кирилл Бовин</x:t>
        </x:is>
      </x:c>
      <x:c r="B128" s="67" t="inlineStr">
        <x:is>
          <x:t xml:space="preserve">Гомель</x:t>
        </x:is>
      </x:c>
      <x:c r="C128" s="67" t="inlineStr">
        <x:is>
          <x:t xml:space="preserve">Нападающий</x:t>
        </x:is>
      </x:c>
      <x:c r="D128" s="67" t="inlineStr">
        <x:is>
          <x:t xml:space="preserve">Да</x:t>
        </x:is>
      </x:c>
      <x:c r="E128" s="67" t="inlineStr">
        <x:is>
          <x:t xml:space="preserve">https://www.sports.ru/hockey/club/gomel/team/</x:t>
        </x:is>
      </x:c>
    </x:row>
    <x:row r="129">
      <x:c r="A129" s="67" t="inlineStr">
        <x:is>
          <x:t xml:space="preserve">Кирилл Куцырь</x:t>
        </x:is>
      </x:c>
      <x:c r="B129" s="67" t="inlineStr">
        <x:is>
          <x:t xml:space="preserve">Гомель</x:t>
        </x:is>
      </x:c>
      <x:c r="C129" s="67" t="inlineStr">
        <x:is>
          <x:t xml:space="preserve">Нападающий</x:t>
        </x:is>
      </x:c>
      <x:c r="D129" s="67" t="inlineStr">
        <x:is>
          <x:t xml:space="preserve">Да</x:t>
        </x:is>
      </x:c>
      <x:c r="E129" s="67" t="inlineStr">
        <x:is>
          <x:t xml:space="preserve">https://www.sports.ru/hockey/club/gomel/team/</x:t>
        </x:is>
      </x:c>
    </x:row>
    <x:row r="130">
      <x:c r="A130" s="67" t="inlineStr">
        <x:is>
          <x:t xml:space="preserve">Кирилл Межейников</x:t>
        </x:is>
      </x:c>
      <x:c r="B130" s="67" t="inlineStr">
        <x:is>
          <x:t xml:space="preserve">Гомель</x:t>
        </x:is>
      </x:c>
      <x:c r="C130" s="67" t="inlineStr">
        <x:is>
          <x:t xml:space="preserve">Нападающий</x:t>
        </x:is>
      </x:c>
      <x:c r="D130" s="67" t="inlineStr">
        <x:is>
          <x:t xml:space="preserve">Да</x:t>
        </x:is>
      </x:c>
      <x:c r="E130" s="67" t="inlineStr">
        <x:is>
          <x:t xml:space="preserve">https://www.sports.ru/hockey/club/gomel/team/</x:t>
        </x:is>
      </x:c>
    </x:row>
    <x:row r="131">
      <x:c r="A131" s="67" t="inlineStr">
        <x:is>
          <x:t xml:space="preserve">Максим Войтович</x:t>
        </x:is>
      </x:c>
      <x:c r="B131" s="67" t="inlineStr">
        <x:is>
          <x:t xml:space="preserve">Гомель</x:t>
        </x:is>
      </x:c>
      <x:c r="C131" s="67" t="inlineStr">
        <x:is>
          <x:t xml:space="preserve">Нападающий</x:t>
        </x:is>
      </x:c>
      <x:c r="D131" s="67" t="inlineStr">
        <x:is>
          <x:t xml:space="preserve">Да</x:t>
        </x:is>
      </x:c>
      <x:c r="E131" s="67" t="inlineStr">
        <x:is>
          <x:t xml:space="preserve">https://www.sports.ru/hockey/club/gomel/team/</x:t>
        </x:is>
      </x:c>
    </x:row>
    <x:row r="132">
      <x:c r="A132" s="67" t="inlineStr">
        <x:is>
          <x:t xml:space="preserve">Николай Сусло</x:t>
        </x:is>
      </x:c>
      <x:c r="B132" s="67" t="inlineStr">
        <x:is>
          <x:t xml:space="preserve">Гомель</x:t>
        </x:is>
      </x:c>
      <x:c r="C132" s="67" t="inlineStr">
        <x:is>
          <x:t xml:space="preserve">Нападающий</x:t>
        </x:is>
      </x:c>
      <x:c r="D132" s="67" t="inlineStr">
        <x:is>
          <x:t xml:space="preserve">Да</x:t>
        </x:is>
      </x:c>
      <x:c r="E132" s="67" t="inlineStr">
        <x:is>
          <x:t xml:space="preserve">https://www.sports.ru/hockey/club/gomel/team/</x:t>
        </x:is>
      </x:c>
    </x:row>
    <x:row r="133">
      <x:c r="A133" s="67" t="inlineStr">
        <x:is>
          <x:t xml:space="preserve">Павел Зыков</x:t>
        </x:is>
      </x:c>
      <x:c r="B133" s="67" t="inlineStr">
        <x:is>
          <x:t xml:space="preserve">Гомель</x:t>
        </x:is>
      </x:c>
      <x:c r="C133" s="67" t="inlineStr">
        <x:is>
          <x:t xml:space="preserve">Нападающий</x:t>
        </x:is>
      </x:c>
      <x:c r="D133" s="67" t="inlineStr">
        <x:is>
          <x:t xml:space="preserve">Да</x:t>
        </x:is>
      </x:c>
      <x:c r="E133" s="67" t="inlineStr">
        <x:is>
          <x:t xml:space="preserve">https://www.sports.ru/hockey/club/gomel/team/</x:t>
        </x:is>
      </x:c>
    </x:row>
    <x:row r="134">
      <x:c r="A134" s="67" t="inlineStr">
        <x:is>
          <x:t xml:space="preserve">Павел Развадовский</x:t>
        </x:is>
      </x:c>
      <x:c r="B134" s="67" t="inlineStr">
        <x:is>
          <x:t xml:space="preserve">Гомель</x:t>
        </x:is>
      </x:c>
      <x:c r="C134" s="67" t="inlineStr">
        <x:is>
          <x:t xml:space="preserve">Нападающий</x:t>
        </x:is>
      </x:c>
      <x:c r="D134" s="67" t="inlineStr">
        <x:is>
          <x:t xml:space="preserve">Да</x:t>
        </x:is>
      </x:c>
      <x:c r="E134" s="67" t="inlineStr">
        <x:is>
          <x:t xml:space="preserve">https://www.sports.ru/hockey/club/gomel/team/</x:t>
        </x:is>
      </x:c>
    </x:row>
    <x:row r="135">
      <x:c r="A135" s="67" t="inlineStr">
        <x:is>
          <x:t xml:space="preserve">Станислав Кучкин</x:t>
        </x:is>
      </x:c>
      <x:c r="B135" s="67" t="inlineStr">
        <x:is>
          <x:t xml:space="preserve">Гомель</x:t>
        </x:is>
      </x:c>
      <x:c r="C135" s="67" t="inlineStr">
        <x:is>
          <x:t xml:space="preserve">Нападающий</x:t>
        </x:is>
      </x:c>
      <x:c r="D135" s="67" t="inlineStr">
        <x:is>
          <x:t xml:space="preserve">Да</x:t>
        </x:is>
      </x:c>
      <x:c r="E135" s="67" t="inlineStr">
        <x:is>
          <x:t xml:space="preserve">https://www.sports.ru/hockey/club/gomel/team/</x:t>
        </x:is>
      </x:c>
    </x:row>
    <x:row r="136">
      <x:c r="A136" s="67" t="inlineStr">
        <x:is>
          <x:t xml:space="preserve">Макаров Андрей</x:t>
        </x:is>
      </x:c>
      <x:c r="B136" s="67" t="inlineStr">
        <x:is>
          <x:t xml:space="preserve">Динамо-Молодечно</x:t>
        </x:is>
      </x:c>
      <x:c r="C136" s="67" t="inlineStr">
        <x:is>
          <x:t xml:space="preserve">Вратарь</x:t>
        </x:is>
      </x:c>
      <x:c r="D136" s="67" t="inlineStr">
        <x:is>
          <x:t xml:space="preserve">Да</x:t>
        </x:is>
      </x:c>
      <x:c r="E136" s="67" t="inlineStr">
        <x:is>
          <x:t xml:space="preserve">https://r-hockey.ru/team/4236-Dinamo_Molodechno/roster/2025/24932</x:t>
        </x:is>
      </x:c>
    </x:row>
    <x:row r="137">
      <x:c r="A137" s="67" t="inlineStr">
        <x:is>
          <x:t xml:space="preserve">Осипков Александр</x:t>
        </x:is>
      </x:c>
      <x:c r="B137" s="67" t="inlineStr">
        <x:is>
          <x:t xml:space="preserve">Динамо-Молодечно</x:t>
        </x:is>
      </x:c>
      <x:c r="C137" s="67" t="inlineStr">
        <x:is>
          <x:t xml:space="preserve">Вратарь</x:t>
        </x:is>
      </x:c>
      <x:c r="D137" s="67" t="inlineStr">
        <x:is>
          <x:t xml:space="preserve">Да</x:t>
        </x:is>
      </x:c>
      <x:c r="E137" s="67" t="inlineStr">
        <x:is>
          <x:t xml:space="preserve">https://r-hockey.ru/team/4236-Dinamo_Molodechno/roster/2025/24932</x:t>
        </x:is>
      </x:c>
    </x:row>
    <x:row r="138">
      <x:c r="A138" s="67" t="inlineStr">
        <x:is>
          <x:t xml:space="preserve">Степанов</x:t>
        </x:is>
      </x:c>
      <x:c r="B138" s="67" t="inlineStr">
        <x:is>
          <x:t xml:space="preserve">Динамо-Молодечно</x:t>
        </x:is>
      </x:c>
      <x:c r="C138" s="67" t="inlineStr">
        <x:is>
          <x:t xml:space="preserve">Вратарь</x:t>
        </x:is>
      </x:c>
      <x:c r="D138" s="67" t="inlineStr">
        <x:is>
          <x:t xml:space="preserve">Да</x:t>
        </x:is>
      </x:c>
      <x:c r="E138" s="67" t="inlineStr">
        <x:is>
          <x:t xml:space="preserve">https://r-hockey.ru/team/4236-Dinamo_Molodechno/roster/2025/24932</x:t>
        </x:is>
      </x:c>
    </x:row>
    <x:row r="139">
      <x:c r="A139" s="67" t="inlineStr">
        <x:is>
          <x:t xml:space="preserve">Буйнич Кирилл</x:t>
        </x:is>
      </x:c>
      <x:c r="B139" s="67" t="inlineStr">
        <x:is>
          <x:t xml:space="preserve">Динамо-Молодечно</x:t>
        </x:is>
      </x:c>
      <x:c r="C139" s="67" t="inlineStr">
        <x:is>
          <x:t xml:space="preserve">Защитник</x:t>
        </x:is>
      </x:c>
      <x:c r="D139" s="67" t="inlineStr">
        <x:is>
          <x:t xml:space="preserve">Да</x:t>
        </x:is>
      </x:c>
      <x:c r="E139" s="67" t="inlineStr">
        <x:is>
          <x:t xml:space="preserve">https://r-hockey.ru/team/4236-Dinamo_Molodechno/roster/2025/24932</x:t>
        </x:is>
      </x:c>
    </x:row>
    <x:row r="140">
      <x:c r="A140" s="67" t="inlineStr">
        <x:is>
          <x:t xml:space="preserve">Бурак Евгений</x:t>
        </x:is>
      </x:c>
      <x:c r="B140" s="67" t="inlineStr">
        <x:is>
          <x:t xml:space="preserve">Динамо-Молодечно</x:t>
        </x:is>
      </x:c>
      <x:c r="C140" s="67" t="inlineStr">
        <x:is>
          <x:t xml:space="preserve">Защитник</x:t>
        </x:is>
      </x:c>
      <x:c r="D140" s="67" t="inlineStr">
        <x:is>
          <x:t xml:space="preserve">Да</x:t>
        </x:is>
      </x:c>
      <x:c r="E140" s="67" t="inlineStr">
        <x:is>
          <x:t xml:space="preserve">https://r-hockey.ru/team/4236-Dinamo_Molodechno/roster/2025/24932</x:t>
        </x:is>
      </x:c>
    </x:row>
    <x:row r="141">
      <x:c r="A141" s="67" t="inlineStr">
        <x:is>
          <x:t xml:space="preserve">Денисов Павел</x:t>
        </x:is>
      </x:c>
      <x:c r="B141" s="67" t="inlineStr">
        <x:is>
          <x:t xml:space="preserve">Динамо-Молодечно</x:t>
        </x:is>
      </x:c>
      <x:c r="C141" s="67" t="inlineStr">
        <x:is>
          <x:t xml:space="preserve">Защитник</x:t>
        </x:is>
      </x:c>
      <x:c r="D141" s="67" t="inlineStr">
        <x:is>
          <x:t xml:space="preserve">Да</x:t>
        </x:is>
      </x:c>
      <x:c r="E141" s="67" t="inlineStr">
        <x:is>
          <x:t xml:space="preserve">https://r-hockey.ru/team/4236-Dinamo_Molodechno/roster/2025/24932</x:t>
        </x:is>
      </x:c>
    </x:row>
    <x:row r="142">
      <x:c r="A142" s="67" t="inlineStr">
        <x:is>
          <x:t xml:space="preserve">Ермаков Андрей</x:t>
        </x:is>
      </x:c>
      <x:c r="B142" s="67" t="inlineStr">
        <x:is>
          <x:t xml:space="preserve">Динамо-Молодечно</x:t>
        </x:is>
      </x:c>
      <x:c r="C142" s="67" t="inlineStr">
        <x:is>
          <x:t xml:space="preserve">Защитник</x:t>
        </x:is>
      </x:c>
      <x:c r="D142" s="67" t="inlineStr">
        <x:is>
          <x:t xml:space="preserve">Да</x:t>
        </x:is>
      </x:c>
      <x:c r="E142" s="67" t="inlineStr">
        <x:is>
          <x:t xml:space="preserve">https://r-hockey.ru/team/4236-Dinamo_Molodechno/roster/2025/24932</x:t>
        </x:is>
      </x:c>
    </x:row>
    <x:row r="143">
      <x:c r="A143" s="67" t="inlineStr">
        <x:is>
          <x:t xml:space="preserve">Зозон Богдан</x:t>
        </x:is>
      </x:c>
      <x:c r="B143" s="67" t="inlineStr">
        <x:is>
          <x:t xml:space="preserve">Динамо-Молодечно</x:t>
        </x:is>
      </x:c>
      <x:c r="C143" s="67" t="inlineStr">
        <x:is>
          <x:t xml:space="preserve">Защитник</x:t>
        </x:is>
      </x:c>
      <x:c r="D143" s="67" t="inlineStr">
        <x:is>
          <x:t xml:space="preserve">Да</x:t>
        </x:is>
      </x:c>
      <x:c r="E143" s="67" t="inlineStr">
        <x:is>
          <x:t xml:space="preserve">https://r-hockey.ru/team/4236-Dinamo_Molodechno/roster/2025/24932</x:t>
        </x:is>
      </x:c>
    </x:row>
    <x:row r="144">
      <x:c r="A144" s="67" t="inlineStr">
        <x:is>
          <x:t xml:space="preserve">Клещик Дмитрий</x:t>
        </x:is>
      </x:c>
      <x:c r="B144" s="67" t="inlineStr">
        <x:is>
          <x:t xml:space="preserve">Динамо-Молодечно</x:t>
        </x:is>
      </x:c>
      <x:c r="C144" s="67" t="inlineStr">
        <x:is>
          <x:t xml:space="preserve">Защитник</x:t>
        </x:is>
      </x:c>
      <x:c r="D144" s="67" t="inlineStr">
        <x:is>
          <x:t xml:space="preserve">Да</x:t>
        </x:is>
      </x:c>
      <x:c r="E144" s="67" t="inlineStr">
        <x:is>
          <x:t xml:space="preserve">https://r-hockey.ru/team/4236-Dinamo_Molodechno/roster/2025/24932</x:t>
        </x:is>
      </x:c>
    </x:row>
    <x:row r="145">
      <x:c r="A145" s="67" t="inlineStr">
        <x:is>
          <x:t xml:space="preserve">Косинский Геннадий</x:t>
        </x:is>
      </x:c>
      <x:c r="B145" s="67" t="inlineStr">
        <x:is>
          <x:t xml:space="preserve">Динамо-Молодечно</x:t>
        </x:is>
      </x:c>
      <x:c r="C145" s="67" t="inlineStr">
        <x:is>
          <x:t xml:space="preserve">Защитник</x:t>
        </x:is>
      </x:c>
      <x:c r="D145" s="67" t="inlineStr">
        <x:is>
          <x:t xml:space="preserve">Да</x:t>
        </x:is>
      </x:c>
      <x:c r="E145" s="67" t="inlineStr">
        <x:is>
          <x:t xml:space="preserve">https://r-hockey.ru/team/4236-Dinamo_Molodechno/roster/2025/24932</x:t>
        </x:is>
      </x:c>
    </x:row>
    <x:row r="146">
      <x:c r="A146" s="67" t="inlineStr">
        <x:is>
          <x:t xml:space="preserve">Кукуля Иван</x:t>
        </x:is>
      </x:c>
      <x:c r="B146" s="67" t="inlineStr">
        <x:is>
          <x:t xml:space="preserve">Динамо-Молодечно</x:t>
        </x:is>
      </x:c>
      <x:c r="C146" s="67" t="inlineStr">
        <x:is>
          <x:t xml:space="preserve">Защитник</x:t>
        </x:is>
      </x:c>
      <x:c r="D146" s="67" t="inlineStr">
        <x:is>
          <x:t xml:space="preserve">Да</x:t>
        </x:is>
      </x:c>
      <x:c r="E146" s="67" t="inlineStr">
        <x:is>
          <x:t xml:space="preserve">https://r-hockey.ru/team/4236-Dinamo_Molodechno/roster/2025/24932</x:t>
        </x:is>
      </x:c>
    </x:row>
    <x:row r="147">
      <x:c r="A147" s="67" t="inlineStr">
        <x:is>
          <x:t xml:space="preserve">Мицкевич Никита</x:t>
        </x:is>
      </x:c>
      <x:c r="B147" s="67" t="inlineStr">
        <x:is>
          <x:t xml:space="preserve">Динамо-Молодечно</x:t>
        </x:is>
      </x:c>
      <x:c r="C147" s="67" t="inlineStr">
        <x:is>
          <x:t xml:space="preserve">Защитник</x:t>
        </x:is>
      </x:c>
      <x:c r="D147" s="67" t="inlineStr">
        <x:is>
          <x:t xml:space="preserve">Да</x:t>
        </x:is>
      </x:c>
      <x:c r="E147" s="67" t="inlineStr">
        <x:is>
          <x:t xml:space="preserve">https://r-hockey.ru/team/4236-Dinamo_Molodechno/roster/2025/24932</x:t>
        </x:is>
      </x:c>
    </x:row>
    <x:row r="148">
      <x:c r="A148" s="67" t="inlineStr">
        <x:is>
          <x:t xml:space="preserve">Ольшанский Савелий</x:t>
        </x:is>
      </x:c>
      <x:c r="B148" s="67" t="inlineStr">
        <x:is>
          <x:t xml:space="preserve">Динамо-Молодечно</x:t>
        </x:is>
      </x:c>
      <x:c r="C148" s="67" t="inlineStr">
        <x:is>
          <x:t xml:space="preserve">Защитник</x:t>
        </x:is>
      </x:c>
      <x:c r="D148" s="67" t="inlineStr">
        <x:is>
          <x:t xml:space="preserve">Да</x:t>
        </x:is>
      </x:c>
      <x:c r="E148" s="67" t="inlineStr">
        <x:is>
          <x:t xml:space="preserve">https://r-hockey.ru/team/4236-Dinamo_Molodechno/roster/2025/24932</x:t>
        </x:is>
      </x:c>
    </x:row>
    <x:row r="149">
      <x:c r="A149" s="67" t="inlineStr">
        <x:is>
          <x:t xml:space="preserve">Станкевич Сергей</x:t>
        </x:is>
      </x:c>
      <x:c r="B149" s="67" t="inlineStr">
        <x:is>
          <x:t xml:space="preserve">Динамо-Молодечно</x:t>
        </x:is>
      </x:c>
      <x:c r="C149" s="67" t="inlineStr">
        <x:is>
          <x:t xml:space="preserve">Защитник</x:t>
        </x:is>
      </x:c>
      <x:c r="D149" s="67" t="inlineStr">
        <x:is>
          <x:t xml:space="preserve">Да</x:t>
        </x:is>
      </x:c>
      <x:c r="E149" s="67" t="inlineStr">
        <x:is>
          <x:t xml:space="preserve">https://r-hockey.ru/team/4236-Dinamo_Molodechno/roster/2025/24932</x:t>
        </x:is>
      </x:c>
    </x:row>
    <x:row r="150">
      <x:c r="A150" s="67" t="inlineStr">
        <x:is>
          <x:t xml:space="preserve">Сурков</x:t>
        </x:is>
      </x:c>
      <x:c r="B150" s="67" t="inlineStr">
        <x:is>
          <x:t xml:space="preserve">Динамо-Молодечно</x:t>
        </x:is>
      </x:c>
      <x:c r="C150" s="67" t="inlineStr">
        <x:is>
          <x:t xml:space="preserve">Защитник</x:t>
        </x:is>
      </x:c>
      <x:c r="D150" s="67" t="inlineStr">
        <x:is>
          <x:t xml:space="preserve">Да</x:t>
        </x:is>
      </x:c>
      <x:c r="E150" s="67" t="inlineStr">
        <x:is>
          <x:t xml:space="preserve">https://r-hockey.ru/team/4236-Dinamo_Molodechno/roster/2025/24932</x:t>
        </x:is>
      </x:c>
    </x:row>
    <x:row r="151">
      <x:c r="A151" s="67" t="inlineStr">
        <x:is>
          <x:t xml:space="preserve">Андреев Глеб</x:t>
        </x:is>
      </x:c>
      <x:c r="B151" s="67" t="inlineStr">
        <x:is>
          <x:t xml:space="preserve">Динамо-Молодечно</x:t>
        </x:is>
      </x:c>
      <x:c r="C151" s="67" t="inlineStr">
        <x:is>
          <x:t xml:space="preserve">Нападающий</x:t>
        </x:is>
      </x:c>
      <x:c r="D151" s="67" t="inlineStr">
        <x:is>
          <x:t xml:space="preserve">Да</x:t>
        </x:is>
      </x:c>
      <x:c r="E151" s="67" t="inlineStr">
        <x:is>
          <x:t xml:space="preserve">https://r-hockey.ru/team/4236-Dinamo_Molodechno/roster/2025/24932</x:t>
        </x:is>
      </x:c>
    </x:row>
    <x:row r="152">
      <x:c r="A152" s="67" t="inlineStr">
        <x:is>
          <x:t xml:space="preserve">Аношко Иван</x:t>
        </x:is>
      </x:c>
      <x:c r="B152" s="67" t="inlineStr">
        <x:is>
          <x:t xml:space="preserve">Динамо-Молодечно</x:t>
        </x:is>
      </x:c>
      <x:c r="C152" s="67" t="inlineStr">
        <x:is>
          <x:t xml:space="preserve">Нападающий</x:t>
        </x:is>
      </x:c>
      <x:c r="D152" s="67" t="inlineStr">
        <x:is>
          <x:t xml:space="preserve">Да</x:t>
        </x:is>
      </x:c>
      <x:c r="E152" s="67" t="inlineStr">
        <x:is>
          <x:t xml:space="preserve">https://r-hockey.ru/team/4236-Dinamo_Molodechno/roster/2025/24932</x:t>
        </x:is>
      </x:c>
    </x:row>
    <x:row r="153">
      <x:c r="A153" s="67" t="inlineStr">
        <x:is>
          <x:t xml:space="preserve">Боурош Даниил</x:t>
        </x:is>
      </x:c>
      <x:c r="B153" s="67" t="inlineStr">
        <x:is>
          <x:t xml:space="preserve">Динамо-Молодечно</x:t>
        </x:is>
      </x:c>
      <x:c r="C153" s="67" t="inlineStr">
        <x:is>
          <x:t xml:space="preserve">Нападающий</x:t>
        </x:is>
      </x:c>
      <x:c r="D153" s="67" t="inlineStr">
        <x:is>
          <x:t xml:space="preserve">Да</x:t>
        </x:is>
      </x:c>
      <x:c r="E153" s="67" t="inlineStr">
        <x:is>
          <x:t xml:space="preserve">https://r-hockey.ru/team/4236-Dinamo_Molodechno/roster/2025/24932</x:t>
        </x:is>
      </x:c>
    </x:row>
    <x:row r="154">
      <x:c r="A154" s="67" t="inlineStr">
        <x:is>
          <x:t xml:space="preserve">Игнатенко Егор</x:t>
        </x:is>
      </x:c>
      <x:c r="B154" s="67" t="inlineStr">
        <x:is>
          <x:t xml:space="preserve">Динамо-Молодечно</x:t>
        </x:is>
      </x:c>
      <x:c r="C154" s="67" t="inlineStr">
        <x:is>
          <x:t xml:space="preserve">Нападающий</x:t>
        </x:is>
      </x:c>
      <x:c r="D154" s="67" t="inlineStr">
        <x:is>
          <x:t xml:space="preserve">Да</x:t>
        </x:is>
      </x:c>
      <x:c r="E154" s="67" t="inlineStr">
        <x:is>
          <x:t xml:space="preserve">https://r-hockey.ru/team/4236-Dinamo_Molodechno/roster/2025/24932</x:t>
        </x:is>
      </x:c>
    </x:row>
    <x:row r="155">
      <x:c r="A155" s="67" t="inlineStr">
        <x:is>
          <x:t xml:space="preserve">Каракулько Александр</x:t>
        </x:is>
      </x:c>
      <x:c r="B155" s="67" t="inlineStr">
        <x:is>
          <x:t xml:space="preserve">Динамо-Молодечно</x:t>
        </x:is>
      </x:c>
      <x:c r="C155" s="67" t="inlineStr">
        <x:is>
          <x:t xml:space="preserve">Нападающий</x:t>
        </x:is>
      </x:c>
      <x:c r="D155" s="67" t="inlineStr">
        <x:is>
          <x:t xml:space="preserve">Да</x:t>
        </x:is>
      </x:c>
      <x:c r="E155" s="67" t="inlineStr">
        <x:is>
          <x:t xml:space="preserve">https://r-hockey.ru/team/4236-Dinamo_Molodechno/roster/2025/24932</x:t>
        </x:is>
      </x:c>
    </x:row>
    <x:row r="156">
      <x:c r="A156" s="67" t="inlineStr">
        <x:is>
          <x:t xml:space="preserve">Клавдиев Егор</x:t>
        </x:is>
      </x:c>
      <x:c r="B156" s="67" t="inlineStr">
        <x:is>
          <x:t xml:space="preserve">Динамо-Молодечно</x:t>
        </x:is>
      </x:c>
      <x:c r="C156" s="67" t="inlineStr">
        <x:is>
          <x:t xml:space="preserve">Нападающий</x:t>
        </x:is>
      </x:c>
      <x:c r="D156" s="67" t="inlineStr">
        <x:is>
          <x:t xml:space="preserve">Да</x:t>
        </x:is>
      </x:c>
      <x:c r="E156" s="67" t="inlineStr">
        <x:is>
          <x:t xml:space="preserve">https://r-hockey.ru/team/4236-Dinamo_Molodechno/roster/2025/24932</x:t>
        </x:is>
      </x:c>
    </x:row>
    <x:row r="157">
      <x:c r="A157" s="67" t="inlineStr">
        <x:is>
          <x:t xml:space="preserve">Копытин Павел</x:t>
        </x:is>
      </x:c>
      <x:c r="B157" s="67" t="inlineStr">
        <x:is>
          <x:t xml:space="preserve">Динамо-Молодечно</x:t>
        </x:is>
      </x:c>
      <x:c r="C157" s="67" t="inlineStr">
        <x:is>
          <x:t xml:space="preserve">Нападающий</x:t>
        </x:is>
      </x:c>
      <x:c r="D157" s="67" t="inlineStr">
        <x:is>
          <x:t xml:space="preserve">Да</x:t>
        </x:is>
      </x:c>
      <x:c r="E157" s="67" t="inlineStr">
        <x:is>
          <x:t xml:space="preserve">https://r-hockey.ru/team/4236-Dinamo_Molodechno/roster/2025/24932</x:t>
        </x:is>
      </x:c>
    </x:row>
    <x:row r="158">
      <x:c r="A158" s="67" t="inlineStr">
        <x:is>
          <x:t xml:space="preserve">Крейн Тимофей</x:t>
        </x:is>
      </x:c>
      <x:c r="B158" s="67" t="inlineStr">
        <x:is>
          <x:t xml:space="preserve">Динамо-Молодечно</x:t>
        </x:is>
      </x:c>
      <x:c r="C158" s="67" t="inlineStr">
        <x:is>
          <x:t xml:space="preserve">Нападающий</x:t>
        </x:is>
      </x:c>
      <x:c r="D158" s="67" t="inlineStr">
        <x:is>
          <x:t xml:space="preserve">Да</x:t>
        </x:is>
      </x:c>
      <x:c r="E158" s="67" t="inlineStr">
        <x:is>
          <x:t xml:space="preserve">https://r-hockey.ru/team/4236-Dinamo_Molodechno/roster/2025/24932</x:t>
        </x:is>
      </x:c>
    </x:row>
    <x:row r="159">
      <x:c r="A159" s="67" t="inlineStr">
        <x:is>
          <x:t xml:space="preserve">Крылович Илья</x:t>
        </x:is>
      </x:c>
      <x:c r="B159" s="67" t="inlineStr">
        <x:is>
          <x:t xml:space="preserve">Динамо-Молодечно</x:t>
        </x:is>
      </x:c>
      <x:c r="C159" s="67" t="inlineStr">
        <x:is>
          <x:t xml:space="preserve">Нападающий</x:t>
        </x:is>
      </x:c>
      <x:c r="D159" s="67" t="inlineStr">
        <x:is>
          <x:t xml:space="preserve">Да</x:t>
        </x:is>
      </x:c>
      <x:c r="E159" s="67" t="inlineStr">
        <x:is>
          <x:t xml:space="preserve">https://r-hockey.ru/team/4236-Dinamo_Molodechno/roster/2025/24932</x:t>
        </x:is>
      </x:c>
    </x:row>
    <x:row r="160">
      <x:c r="A160" s="67" t="inlineStr">
        <x:is>
          <x:t xml:space="preserve">Мальцев Максим</x:t>
        </x:is>
      </x:c>
      <x:c r="B160" s="67" t="inlineStr">
        <x:is>
          <x:t xml:space="preserve">Динамо-Молодечно</x:t>
        </x:is>
      </x:c>
      <x:c r="C160" s="67" t="inlineStr">
        <x:is>
          <x:t xml:space="preserve">Нападающий</x:t>
        </x:is>
      </x:c>
      <x:c r="D160" s="67" t="inlineStr">
        <x:is>
          <x:t xml:space="preserve">Да</x:t>
        </x:is>
      </x:c>
      <x:c r="E160" s="67" t="inlineStr">
        <x:is>
          <x:t xml:space="preserve">https://r-hockey.ru/team/4236-Dinamo_Molodechno/roster/2025/24932</x:t>
        </x:is>
      </x:c>
    </x:row>
    <x:row r="161">
      <x:c r="A161" s="67" t="inlineStr">
        <x:is>
          <x:t xml:space="preserve">Масилевич Виктор</x:t>
        </x:is>
      </x:c>
      <x:c r="B161" s="67" t="inlineStr">
        <x:is>
          <x:t xml:space="preserve">Динамо-Молодечно</x:t>
        </x:is>
      </x:c>
      <x:c r="C161" s="67" t="inlineStr">
        <x:is>
          <x:t xml:space="preserve">Нападающий</x:t>
        </x:is>
      </x:c>
      <x:c r="D161" s="67" t="inlineStr">
        <x:is>
          <x:t xml:space="preserve">Да</x:t>
        </x:is>
      </x:c>
      <x:c r="E161" s="67" t="inlineStr">
        <x:is>
          <x:t xml:space="preserve">https://r-hockey.ru/team/4236-Dinamo_Molodechno/roster/2025/24932</x:t>
        </x:is>
      </x:c>
    </x:row>
    <x:row r="162">
      <x:c r="A162" s="67" t="inlineStr">
        <x:is>
          <x:t xml:space="preserve">Медведев Павел</x:t>
        </x:is>
      </x:c>
      <x:c r="B162" s="67" t="inlineStr">
        <x:is>
          <x:t xml:space="preserve">Динамо-Молодечно</x:t>
        </x:is>
      </x:c>
      <x:c r="C162" s="67" t="inlineStr">
        <x:is>
          <x:t xml:space="preserve">Нападающий</x:t>
        </x:is>
      </x:c>
      <x:c r="D162" s="67" t="inlineStr">
        <x:is>
          <x:t xml:space="preserve">Да</x:t>
        </x:is>
      </x:c>
      <x:c r="E162" s="67" t="inlineStr">
        <x:is>
          <x:t xml:space="preserve">https://r-hockey.ru/team/4236-Dinamo_Molodechno/roster/2025/24932</x:t>
        </x:is>
      </x:c>
    </x:row>
    <x:row r="163">
      <x:c r="A163" s="67" t="inlineStr">
        <x:is>
          <x:t xml:space="preserve">Мельников Даниил</x:t>
        </x:is>
      </x:c>
      <x:c r="B163" s="67" t="inlineStr">
        <x:is>
          <x:t xml:space="preserve">Динамо-Молодечно</x:t>
        </x:is>
      </x:c>
      <x:c r="C163" s="67" t="inlineStr">
        <x:is>
          <x:t xml:space="preserve">Нападающий</x:t>
        </x:is>
      </x:c>
      <x:c r="D163" s="67" t="inlineStr">
        <x:is>
          <x:t xml:space="preserve">Да</x:t>
        </x:is>
      </x:c>
      <x:c r="E163" s="67" t="inlineStr">
        <x:is>
          <x:t xml:space="preserve">https://r-hockey.ru/team/4236-Dinamo_Molodechno/roster/2025/24932</x:t>
        </x:is>
      </x:c>
    </x:row>
    <x:row r="164">
      <x:c r="A164" s="67" t="inlineStr">
        <x:is>
          <x:t xml:space="preserve">Михалев Мирослав</x:t>
        </x:is>
      </x:c>
      <x:c r="B164" s="67" t="inlineStr">
        <x:is>
          <x:t xml:space="preserve">Динамо-Молодечно</x:t>
        </x:is>
      </x:c>
      <x:c r="C164" s="67" t="inlineStr">
        <x:is>
          <x:t xml:space="preserve">Нападающий</x:t>
        </x:is>
      </x:c>
      <x:c r="D164" s="67" t="inlineStr">
        <x:is>
          <x:t xml:space="preserve">Да</x:t>
        </x:is>
      </x:c>
      <x:c r="E164" s="67" t="inlineStr">
        <x:is>
          <x:t xml:space="preserve">https://r-hockey.ru/team/4236-Dinamo_Molodechno/roster/2025/24932</x:t>
        </x:is>
      </x:c>
    </x:row>
    <x:row r="165">
      <x:c r="A165" s="67" t="inlineStr">
        <x:is>
          <x:t xml:space="preserve">Мохорев Антон</x:t>
        </x:is>
      </x:c>
      <x:c r="B165" s="67" t="inlineStr">
        <x:is>
          <x:t xml:space="preserve">Динамо-Молодечно</x:t>
        </x:is>
      </x:c>
      <x:c r="C165" s="67" t="inlineStr">
        <x:is>
          <x:t xml:space="preserve">Нападающий</x:t>
        </x:is>
      </x:c>
      <x:c r="D165" s="67" t="inlineStr">
        <x:is>
          <x:t xml:space="preserve">Да</x:t>
        </x:is>
      </x:c>
      <x:c r="E165" s="67" t="inlineStr">
        <x:is>
          <x:t xml:space="preserve">https://r-hockey.ru/team/4236-Dinamo_Molodechno/roster/2025/24932</x:t>
        </x:is>
      </x:c>
    </x:row>
    <x:row r="166">
      <x:c r="A166" s="67" t="inlineStr">
        <x:is>
          <x:t xml:space="preserve">Развадовский Павел</x:t>
        </x:is>
      </x:c>
      <x:c r="B166" s="67" t="inlineStr">
        <x:is>
          <x:t xml:space="preserve">Динамо-Молодечно</x:t>
        </x:is>
      </x:c>
      <x:c r="C166" s="67" t="inlineStr">
        <x:is>
          <x:t xml:space="preserve">Нападающий</x:t>
        </x:is>
      </x:c>
      <x:c r="D166" s="67" t="inlineStr">
        <x:is>
          <x:t xml:space="preserve">Да</x:t>
        </x:is>
      </x:c>
      <x:c r="E166" s="67" t="inlineStr">
        <x:is>
          <x:t xml:space="preserve">https://r-hockey.ru/team/4236-Dinamo_Molodechno/roster/2025/24932</x:t>
        </x:is>
      </x:c>
    </x:row>
    <x:row r="167">
      <x:c r="A167" s="67" t="inlineStr">
        <x:is>
          <x:t xml:space="preserve">Зенюк Александр</x:t>
        </x:is>
      </x:c>
      <x:c r="B167" s="67" t="inlineStr">
        <x:is>
          <x:t xml:space="preserve">Лида</x:t>
        </x:is>
      </x:c>
      <x:c r="C167" s="67" t="inlineStr">
        <x:is>
          <x:t xml:space="preserve">Вратарь</x:t>
        </x:is>
      </x:c>
      <x:c r="D167" s="67" t="inlineStr">
        <x:is>
          <x:t xml:space="preserve">Да</x:t>
        </x:is>
      </x:c>
      <x:c r="E167" s="67" t="inlineStr">
        <x:is>
          <x:t xml:space="preserve">https://r-hockey.ru/team/2167-HC_Lida/roster/2025/24932</x:t>
        </x:is>
      </x:c>
    </x:row>
    <x:row r="168">
      <x:c r="A168" s="67" t="inlineStr">
        <x:is>
          <x:t xml:space="preserve">Малков Артур</x:t>
        </x:is>
      </x:c>
      <x:c r="B168" s="67" t="inlineStr">
        <x:is>
          <x:t xml:space="preserve">Лида</x:t>
        </x:is>
      </x:c>
      <x:c r="C168" s="67" t="inlineStr">
        <x:is>
          <x:t xml:space="preserve">Вратарь</x:t>
        </x:is>
      </x:c>
      <x:c r="D168" s="67" t="inlineStr">
        <x:is>
          <x:t xml:space="preserve">Да</x:t>
        </x:is>
      </x:c>
      <x:c r="E168" s="67" t="inlineStr">
        <x:is>
          <x:t xml:space="preserve">https://r-hockey.ru/team/2167-HC_Lida/roster/2025/24932</x:t>
        </x:is>
      </x:c>
    </x:row>
    <x:row r="169">
      <x:c r="A169" s="67" t="inlineStr">
        <x:is>
          <x:t xml:space="preserve">Мойсеенко Виктор</x:t>
        </x:is>
      </x:c>
      <x:c r="B169" s="67" t="inlineStr">
        <x:is>
          <x:t xml:space="preserve">Лида</x:t>
        </x:is>
      </x:c>
      <x:c r="C169" s="67" t="inlineStr">
        <x:is>
          <x:t xml:space="preserve">Вратарь</x:t>
        </x:is>
      </x:c>
      <x:c r="D169" s="67" t="inlineStr">
        <x:is>
          <x:t xml:space="preserve">Да</x:t>
        </x:is>
      </x:c>
      <x:c r="E169" s="67" t="inlineStr">
        <x:is>
          <x:t xml:space="preserve">https://r-hockey.ru/team/2167-HC_Lida/roster/2025/24932</x:t>
        </x:is>
      </x:c>
    </x:row>
    <x:row r="170">
      <x:c r="A170" s="67" t="inlineStr">
        <x:is>
          <x:t xml:space="preserve">Чайка Тихон</x:t>
        </x:is>
      </x:c>
      <x:c r="B170" s="67" t="inlineStr">
        <x:is>
          <x:t xml:space="preserve">Лида</x:t>
        </x:is>
      </x:c>
      <x:c r="C170" s="67" t="inlineStr">
        <x:is>
          <x:t xml:space="preserve">Вратарь</x:t>
        </x:is>
      </x:c>
      <x:c r="D170" s="67" t="inlineStr">
        <x:is>
          <x:t xml:space="preserve">Да</x:t>
        </x:is>
      </x:c>
      <x:c r="E170" s="67" t="inlineStr">
        <x:is>
          <x:t xml:space="preserve">https://r-hockey.ru/team/2167-HC_Lida/roster/2025/24932</x:t>
        </x:is>
      </x:c>
    </x:row>
    <x:row r="171">
      <x:c r="A171" s="67" t="inlineStr">
        <x:is>
          <x:t xml:space="preserve">Вороно Павел</x:t>
        </x:is>
      </x:c>
      <x:c r="B171" s="67" t="inlineStr">
        <x:is>
          <x:t xml:space="preserve">Лида</x:t>
        </x:is>
      </x:c>
      <x:c r="C171" s="67" t="inlineStr">
        <x:is>
          <x:t xml:space="preserve">Защитник</x:t>
        </x:is>
      </x:c>
      <x:c r="D171" s="67" t="inlineStr">
        <x:is>
          <x:t xml:space="preserve">Да</x:t>
        </x:is>
      </x:c>
      <x:c r="E171" s="67" t="inlineStr">
        <x:is>
          <x:t xml:space="preserve">https://r-hockey.ru/team/2167-HC_Lida/roster/2025/24932</x:t>
        </x:is>
      </x:c>
    </x:row>
    <x:row r="172">
      <x:c r="A172" s="67" t="inlineStr">
        <x:is>
          <x:t xml:space="preserve">Костко Иван</x:t>
        </x:is>
      </x:c>
      <x:c r="B172" s="67" t="inlineStr">
        <x:is>
          <x:t xml:space="preserve">Лида</x:t>
        </x:is>
      </x:c>
      <x:c r="C172" s="67" t="inlineStr">
        <x:is>
          <x:t xml:space="preserve">Защитник</x:t>
        </x:is>
      </x:c>
      <x:c r="D172" s="67" t="inlineStr">
        <x:is>
          <x:t xml:space="preserve">Да</x:t>
        </x:is>
      </x:c>
      <x:c r="E172" s="67" t="inlineStr">
        <x:is>
          <x:t xml:space="preserve">https://r-hockey.ru/team/2167-HC_Lida/roster/2025/24932</x:t>
        </x:is>
      </x:c>
    </x:row>
    <x:row r="173">
      <x:c r="A173" s="67" t="inlineStr">
        <x:is>
          <x:t xml:space="preserve">Кузнецов Герман</x:t>
        </x:is>
      </x:c>
      <x:c r="B173" s="67" t="inlineStr">
        <x:is>
          <x:t xml:space="preserve">Лида</x:t>
        </x:is>
      </x:c>
      <x:c r="C173" s="67" t="inlineStr">
        <x:is>
          <x:t xml:space="preserve">Защитник</x:t>
        </x:is>
      </x:c>
      <x:c r="D173" s="67" t="inlineStr">
        <x:is>
          <x:t xml:space="preserve">Да</x:t>
        </x:is>
      </x:c>
      <x:c r="E173" s="67" t="inlineStr">
        <x:is>
          <x:t xml:space="preserve">https://r-hockey.ru/team/2167-HC_Lida/roster/2025/24932</x:t>
        </x:is>
      </x:c>
    </x:row>
    <x:row r="174">
      <x:c r="A174" s="67" t="inlineStr">
        <x:is>
          <x:t xml:space="preserve">Мартынов Сергей</x:t>
        </x:is>
      </x:c>
      <x:c r="B174" s="67" t="inlineStr">
        <x:is>
          <x:t xml:space="preserve">Лида</x:t>
        </x:is>
      </x:c>
      <x:c r="C174" s="67" t="inlineStr">
        <x:is>
          <x:t xml:space="preserve">Защитник</x:t>
        </x:is>
      </x:c>
      <x:c r="D174" s="67" t="inlineStr">
        <x:is>
          <x:t xml:space="preserve">Да</x:t>
        </x:is>
      </x:c>
      <x:c r="E174" s="67" t="inlineStr">
        <x:is>
          <x:t xml:space="preserve">https://r-hockey.ru/team/2167-HC_Lida/roster/2025/24932</x:t>
        </x:is>
      </x:c>
    </x:row>
    <x:row r="175">
      <x:c r="A175" s="67" t="inlineStr">
        <x:is>
          <x:t xml:space="preserve">Сафонов Константин</x:t>
        </x:is>
      </x:c>
      <x:c r="B175" s="67" t="inlineStr">
        <x:is>
          <x:t xml:space="preserve">Лида</x:t>
        </x:is>
      </x:c>
      <x:c r="C175" s="67" t="inlineStr">
        <x:is>
          <x:t xml:space="preserve">Защитник</x:t>
        </x:is>
      </x:c>
      <x:c r="D175" s="67" t="inlineStr">
        <x:is>
          <x:t xml:space="preserve">Да</x:t>
        </x:is>
      </x:c>
      <x:c r="E175" s="67" t="inlineStr">
        <x:is>
          <x:t xml:space="preserve">https://r-hockey.ru/team/2167-HC_Lida/roster/2025/24932</x:t>
        </x:is>
      </x:c>
    </x:row>
    <x:row r="176">
      <x:c r="A176" s="67" t="inlineStr">
        <x:is>
          <x:t xml:space="preserve">Солдатов Роман</x:t>
        </x:is>
      </x:c>
      <x:c r="B176" s="67" t="inlineStr">
        <x:is>
          <x:t xml:space="preserve">Лида</x:t>
        </x:is>
      </x:c>
      <x:c r="C176" s="67" t="inlineStr">
        <x:is>
          <x:t xml:space="preserve">Защитник</x:t>
        </x:is>
      </x:c>
      <x:c r="D176" s="67" t="inlineStr">
        <x:is>
          <x:t xml:space="preserve">Да</x:t>
        </x:is>
      </x:c>
      <x:c r="E176" s="67" t="inlineStr">
        <x:is>
          <x:t xml:space="preserve">https://r-hockey.ru/team/2167-HC_Lida/roster/2025/24932</x:t>
        </x:is>
      </x:c>
    </x:row>
    <x:row r="177">
      <x:c r="A177" s="67" t="inlineStr">
        <x:is>
          <x:t xml:space="preserve">Тарасевич Кирилл</x:t>
        </x:is>
      </x:c>
      <x:c r="B177" s="67" t="inlineStr">
        <x:is>
          <x:t xml:space="preserve">Лида</x:t>
        </x:is>
      </x:c>
      <x:c r="C177" s="67" t="inlineStr">
        <x:is>
          <x:t xml:space="preserve">Защитник</x:t>
        </x:is>
      </x:c>
      <x:c r="D177" s="67" t="inlineStr">
        <x:is>
          <x:t xml:space="preserve">Да</x:t>
        </x:is>
      </x:c>
      <x:c r="E177" s="67" t="inlineStr">
        <x:is>
          <x:t xml:space="preserve">https://r-hockey.ru/team/2167-HC_Lida/roster/2025/24932</x:t>
        </x:is>
      </x:c>
    </x:row>
    <x:row r="178">
      <x:c r="A178" s="67" t="inlineStr">
        <x:is>
          <x:t xml:space="preserve">Усс Игорь</x:t>
        </x:is>
      </x:c>
      <x:c r="B178" s="67" t="inlineStr">
        <x:is>
          <x:t xml:space="preserve">Лида</x:t>
        </x:is>
      </x:c>
      <x:c r="C178" s="67" t="inlineStr">
        <x:is>
          <x:t xml:space="preserve">Защитник</x:t>
        </x:is>
      </x:c>
      <x:c r="D178" s="67" t="inlineStr">
        <x:is>
          <x:t xml:space="preserve">Да</x:t>
        </x:is>
      </x:c>
      <x:c r="E178" s="67" t="inlineStr">
        <x:is>
          <x:t xml:space="preserve">https://r-hockey.ru/team/2167-HC_Lida/roster/2025/24932</x:t>
        </x:is>
      </x:c>
    </x:row>
    <x:row r="179">
      <x:c r="A179" s="67" t="inlineStr">
        <x:is>
          <x:t xml:space="preserve">Грачев Герман</x:t>
        </x:is>
      </x:c>
      <x:c r="B179" s="67" t="inlineStr">
        <x:is>
          <x:t xml:space="preserve">Лида</x:t>
        </x:is>
      </x:c>
      <x:c r="C179" s="67" t="inlineStr">
        <x:is>
          <x:t xml:space="preserve">Нападающий</x:t>
        </x:is>
      </x:c>
      <x:c r="D179" s="67" t="inlineStr">
        <x:is>
          <x:t xml:space="preserve">Да</x:t>
        </x:is>
      </x:c>
      <x:c r="E179" s="67" t="inlineStr">
        <x:is>
          <x:t xml:space="preserve">https://r-hockey.ru/team/2167-HC_Lida/roster/2025/24932</x:t>
        </x:is>
      </x:c>
    </x:row>
    <x:row r="180">
      <x:c r="A180" s="67" t="inlineStr">
        <x:is>
          <x:t xml:space="preserve">Иванковский Антон</x:t>
        </x:is>
      </x:c>
      <x:c r="B180" s="67" t="inlineStr">
        <x:is>
          <x:t xml:space="preserve">Лида</x:t>
        </x:is>
      </x:c>
      <x:c r="C180" s="67" t="inlineStr">
        <x:is>
          <x:t xml:space="preserve">Нападающий</x:t>
        </x:is>
      </x:c>
      <x:c r="D180" s="67" t="inlineStr">
        <x:is>
          <x:t xml:space="preserve">Да</x:t>
        </x:is>
      </x:c>
      <x:c r="E180" s="67" t="inlineStr">
        <x:is>
          <x:t xml:space="preserve">https://r-hockey.ru/team/2167-HC_Lida/roster/2025/24932</x:t>
        </x:is>
      </x:c>
    </x:row>
    <x:row r="181">
      <x:c r="A181" s="67" t="inlineStr">
        <x:is>
          <x:t xml:space="preserve">Идиатуллин Александр</x:t>
        </x:is>
      </x:c>
      <x:c r="B181" s="67" t="inlineStr">
        <x:is>
          <x:t xml:space="preserve">Лида</x:t>
        </x:is>
      </x:c>
      <x:c r="C181" s="67" t="inlineStr">
        <x:is>
          <x:t xml:space="preserve">Нападающий</x:t>
        </x:is>
      </x:c>
      <x:c r="D181" s="67" t="inlineStr">
        <x:is>
          <x:t xml:space="preserve">Да</x:t>
        </x:is>
      </x:c>
      <x:c r="E181" s="67" t="inlineStr">
        <x:is>
          <x:t xml:space="preserve">https://r-hockey.ru/team/2167-HC_Lida/roster/2025/24932</x:t>
        </x:is>
      </x:c>
    </x:row>
    <x:row r="182">
      <x:c r="A182" s="67" t="inlineStr">
        <x:is>
          <x:t xml:space="preserve">Карпов Максим</x:t>
        </x:is>
      </x:c>
      <x:c r="B182" s="67" t="inlineStr">
        <x:is>
          <x:t xml:space="preserve">Лида</x:t>
        </x:is>
      </x:c>
      <x:c r="C182" s="67" t="inlineStr">
        <x:is>
          <x:t xml:space="preserve">Нападающий</x:t>
        </x:is>
      </x:c>
      <x:c r="D182" s="67" t="inlineStr">
        <x:is>
          <x:t xml:space="preserve">Да</x:t>
        </x:is>
      </x:c>
      <x:c r="E182" s="67" t="inlineStr">
        <x:is>
          <x:t xml:space="preserve">https://r-hockey.ru/team/2167-HC_Lida/roster/2025/24932</x:t>
        </x:is>
      </x:c>
    </x:row>
    <x:row r="183">
      <x:c r="A183" s="67" t="inlineStr">
        <x:is>
          <x:t xml:space="preserve">Куцырь Кирилл</x:t>
        </x:is>
      </x:c>
      <x:c r="B183" s="67" t="inlineStr">
        <x:is>
          <x:t xml:space="preserve">Лида</x:t>
        </x:is>
      </x:c>
      <x:c r="C183" s="67" t="inlineStr">
        <x:is>
          <x:t xml:space="preserve">Нападающий</x:t>
        </x:is>
      </x:c>
      <x:c r="D183" s="67" t="inlineStr">
        <x:is>
          <x:t xml:space="preserve">Да</x:t>
        </x:is>
      </x:c>
      <x:c r="E183" s="67" t="inlineStr">
        <x:is>
          <x:t xml:space="preserve">https://r-hockey.ru/team/2167-HC_Lida/roster/2025/24932</x:t>
        </x:is>
      </x:c>
    </x:row>
    <x:row r="184">
      <x:c r="A184" s="67" t="inlineStr">
        <x:is>
          <x:t xml:space="preserve">Левша Артем</x:t>
        </x:is>
      </x:c>
      <x:c r="B184" s="67" t="inlineStr">
        <x:is>
          <x:t xml:space="preserve">Лида</x:t>
        </x:is>
      </x:c>
      <x:c r="C184" s="67" t="inlineStr">
        <x:is>
          <x:t xml:space="preserve">Нападающий</x:t>
        </x:is>
      </x:c>
      <x:c r="D184" s="67" t="inlineStr">
        <x:is>
          <x:t xml:space="preserve">Да</x:t>
        </x:is>
      </x:c>
      <x:c r="E184" s="67" t="inlineStr">
        <x:is>
          <x:t xml:space="preserve">https://r-hockey.ru/team/2167-HC_Lida/roster/2025/24932</x:t>
        </x:is>
      </x:c>
    </x:row>
    <x:row r="185">
      <x:c r="A185" s="67" t="inlineStr">
        <x:is>
          <x:t xml:space="preserve">Новик Михей</x:t>
        </x:is>
      </x:c>
      <x:c r="B185" s="67" t="inlineStr">
        <x:is>
          <x:t xml:space="preserve">Лида</x:t>
        </x:is>
      </x:c>
      <x:c r="C185" s="67" t="inlineStr">
        <x:is>
          <x:t xml:space="preserve">Нападающий</x:t>
        </x:is>
      </x:c>
      <x:c r="D185" s="67" t="inlineStr">
        <x:is>
          <x:t xml:space="preserve">Да</x:t>
        </x:is>
      </x:c>
      <x:c r="E185" s="67" t="inlineStr">
        <x:is>
          <x:t xml:space="preserve">https://r-hockey.ru/team/2167-HC_Lida/roster/2025/24932</x:t>
        </x:is>
      </x:c>
    </x:row>
    <x:row r="186">
      <x:c r="A186" s="67" t="inlineStr">
        <x:is>
          <x:t xml:space="preserve">Онуфриюк Владимир</x:t>
        </x:is>
      </x:c>
      <x:c r="B186" s="67" t="inlineStr">
        <x:is>
          <x:t xml:space="preserve">Лида</x:t>
        </x:is>
      </x:c>
      <x:c r="C186" s="67" t="inlineStr">
        <x:is>
          <x:t xml:space="preserve">Нападающий</x:t>
        </x:is>
      </x:c>
      <x:c r="D186" s="67" t="inlineStr">
        <x:is>
          <x:t xml:space="preserve">Да</x:t>
        </x:is>
      </x:c>
      <x:c r="E186" s="67" t="inlineStr">
        <x:is>
          <x:t xml:space="preserve">https://r-hockey.ru/team/2167-HC_Lida/roster/2025/24932</x:t>
        </x:is>
      </x:c>
    </x:row>
    <x:row r="187">
      <x:c r="A187" s="67" t="inlineStr">
        <x:is>
          <x:t xml:space="preserve">Пархомчик Артур</x:t>
        </x:is>
      </x:c>
      <x:c r="B187" s="67" t="inlineStr">
        <x:is>
          <x:t xml:space="preserve">Лида</x:t>
        </x:is>
      </x:c>
      <x:c r="C187" s="67" t="inlineStr">
        <x:is>
          <x:t xml:space="preserve">Нападающий</x:t>
        </x:is>
      </x:c>
      <x:c r="D187" s="67" t="inlineStr">
        <x:is>
          <x:t xml:space="preserve">Да</x:t>
        </x:is>
      </x:c>
      <x:c r="E187" s="67" t="inlineStr">
        <x:is>
          <x:t xml:space="preserve">https://r-hockey.ru/team/2167-HC_Lida/roster/2025/24932</x:t>
        </x:is>
      </x:c>
    </x:row>
    <x:row r="188">
      <x:c r="A188" s="67" t="inlineStr">
        <x:is>
          <x:t xml:space="preserve">Подорожников Антон</x:t>
        </x:is>
      </x:c>
      <x:c r="B188" s="67" t="inlineStr">
        <x:is>
          <x:t xml:space="preserve">Лида</x:t>
        </x:is>
      </x:c>
      <x:c r="C188" s="67" t="inlineStr">
        <x:is>
          <x:t xml:space="preserve">Нападающий</x:t>
        </x:is>
      </x:c>
      <x:c r="D188" s="67" t="inlineStr">
        <x:is>
          <x:t xml:space="preserve">Да</x:t>
        </x:is>
      </x:c>
      <x:c r="E188" s="67" t="inlineStr">
        <x:is>
          <x:t xml:space="preserve">https://r-hockey.ru/team/2167-HC_Lida/roster/2025/24932</x:t>
        </x:is>
      </x:c>
    </x:row>
    <x:row r="189">
      <x:c r="A189" s="67" t="inlineStr">
        <x:is>
          <x:t xml:space="preserve">Сергушкин Денис</x:t>
        </x:is>
      </x:c>
      <x:c r="B189" s="67" t="inlineStr">
        <x:is>
          <x:t xml:space="preserve">Лида</x:t>
        </x:is>
      </x:c>
      <x:c r="C189" s="67" t="inlineStr">
        <x:is>
          <x:t xml:space="preserve">Нападающий</x:t>
        </x:is>
      </x:c>
      <x:c r="D189" s="67" t="inlineStr">
        <x:is>
          <x:t xml:space="preserve">Да</x:t>
        </x:is>
      </x:c>
      <x:c r="E189" s="67" t="inlineStr">
        <x:is>
          <x:t xml:space="preserve">https://r-hockey.ru/team/2167-HC_Lida/roster/2025/24932</x:t>
        </x:is>
      </x:c>
    </x:row>
    <x:row r="190">
      <x:c r="A190" s="67" t="inlineStr">
        <x:is>
          <x:t xml:space="preserve">Синельников Никита</x:t>
        </x:is>
      </x:c>
      <x:c r="B190" s="67" t="inlineStr">
        <x:is>
          <x:t xml:space="preserve">Лида</x:t>
        </x:is>
      </x:c>
      <x:c r="C190" s="67" t="inlineStr">
        <x:is>
          <x:t xml:space="preserve">Нападающий</x:t>
        </x:is>
      </x:c>
      <x:c r="D190" s="67" t="inlineStr">
        <x:is>
          <x:t xml:space="preserve">Да</x:t>
        </x:is>
      </x:c>
      <x:c r="E190" s="67" t="inlineStr">
        <x:is>
          <x:t xml:space="preserve">https://r-hockey.ru/team/2167-HC_Lida/roster/2025/24932</x:t>
        </x:is>
      </x:c>
    </x:row>
    <x:row r="191">
      <x:c r="A191" s="67" t="inlineStr">
        <x:is>
          <x:t xml:space="preserve">Собко Даниил</x:t>
        </x:is>
      </x:c>
      <x:c r="B191" s="67" t="inlineStr">
        <x:is>
          <x:t xml:space="preserve">Лида</x:t>
        </x:is>
      </x:c>
      <x:c r="C191" s="67" t="inlineStr">
        <x:is>
          <x:t xml:space="preserve">Нападающий</x:t>
        </x:is>
      </x:c>
      <x:c r="D191" s="67" t="inlineStr">
        <x:is>
          <x:t xml:space="preserve">Да</x:t>
        </x:is>
      </x:c>
      <x:c r="E191" s="67" t="inlineStr">
        <x:is>
          <x:t xml:space="preserve">https://r-hockey.ru/team/2167-HC_Lida/roster/2025/24932</x:t>
        </x:is>
      </x:c>
    </x:row>
    <x:row r="192">
      <x:c r="A192" s="67" t="inlineStr">
        <x:is>
          <x:t xml:space="preserve">Спешилов Игорь</x:t>
        </x:is>
      </x:c>
      <x:c r="B192" s="67" t="inlineStr">
        <x:is>
          <x:t xml:space="preserve">Лида</x:t>
        </x:is>
      </x:c>
      <x:c r="C192" s="67" t="inlineStr">
        <x:is>
          <x:t xml:space="preserve">Нападающий</x:t>
        </x:is>
      </x:c>
      <x:c r="D192" s="67" t="inlineStr">
        <x:is>
          <x:t xml:space="preserve">Да</x:t>
        </x:is>
      </x:c>
      <x:c r="E192" s="67" t="inlineStr">
        <x:is>
          <x:t xml:space="preserve">https://r-hockey.ru/team/2167-HC_Lida/roster/2025/24932</x:t>
        </x:is>
      </x:c>
    </x:row>
    <x:row r="193">
      <x:c r="A193" s="67" t="inlineStr">
        <x:is>
          <x:t xml:space="preserve">Фарафонтов Евгений</x:t>
        </x:is>
      </x:c>
      <x:c r="B193" s="67" t="inlineStr">
        <x:is>
          <x:t xml:space="preserve">Лида</x:t>
        </x:is>
      </x:c>
      <x:c r="C193" s="67" t="inlineStr">
        <x:is>
          <x:t xml:space="preserve">Нападающий</x:t>
        </x:is>
      </x:c>
      <x:c r="D193" s="67" t="inlineStr">
        <x:is>
          <x:t xml:space="preserve">Да</x:t>
        </x:is>
      </x:c>
      <x:c r="E193" s="67" t="inlineStr">
        <x:is>
          <x:t xml:space="preserve">https://r-hockey.ru/team/2167-HC_Lida/roster/2025/24932</x:t>
        </x:is>
      </x:c>
    </x:row>
    <x:row r="194">
      <x:c r="A194" s="67" t="inlineStr">
        <x:is>
          <x:t xml:space="preserve">Хисамутдинов Арсен</x:t>
        </x:is>
      </x:c>
      <x:c r="B194" s="67" t="inlineStr">
        <x:is>
          <x:t xml:space="preserve">Лида</x:t>
        </x:is>
      </x:c>
      <x:c r="C194" s="67" t="inlineStr">
        <x:is>
          <x:t xml:space="preserve">Нападающий</x:t>
        </x:is>
      </x:c>
      <x:c r="D194" s="67" t="inlineStr">
        <x:is>
          <x:t xml:space="preserve">Да</x:t>
        </x:is>
      </x:c>
      <x:c r="E194" s="67" t="inlineStr">
        <x:is>
          <x:t xml:space="preserve">https://r-hockey.ru/team/2167-HC_Lida/roster/2025/24932</x:t>
        </x:is>
      </x:c>
    </x:row>
    <x:row r="195">
      <x:c r="A195" s="67" t="inlineStr">
        <x:is>
          <x:t xml:space="preserve">Чубуков Максим</x:t>
        </x:is>
      </x:c>
      <x:c r="B195" s="67" t="inlineStr">
        <x:is>
          <x:t xml:space="preserve">Лида</x:t>
        </x:is>
      </x:c>
      <x:c r="C195" s="67" t="inlineStr">
        <x:is>
          <x:t xml:space="preserve">Нападающий</x:t>
        </x:is>
      </x:c>
      <x:c r="D195" s="67" t="inlineStr">
        <x:is>
          <x:t xml:space="preserve">Да</x:t>
        </x:is>
      </x:c>
      <x:c r="E195" s="67" t="inlineStr">
        <x:is>
          <x:t xml:space="preserve">https://r-hockey.ru/team/2167-HC_Lida/roster/2025/24932</x:t>
        </x:is>
      </x:c>
    </x:row>
    <x:row r="196">
      <x:c r="A196" s="67" t="inlineStr">
        <x:is>
          <x:t xml:space="preserve">Зиновенко Ростислав</x:t>
        </x:is>
      </x:c>
      <x:c r="B196" s="67" t="inlineStr">
        <x:is>
          <x:t xml:space="preserve">Локомотив</x:t>
        </x:is>
      </x:c>
      <x:c r="C196" s="67" t="inlineStr">
        <x:is>
          <x:t xml:space="preserve">Вратарь</x:t>
        </x:is>
      </x:c>
      <x:c r="D196" s="67" t="inlineStr">
        <x:is>
          <x:t xml:space="preserve">Да</x:t>
        </x:is>
      </x:c>
      <x:c r="E196" s="67" t="inlineStr">
        <x:is>
          <x:t xml:space="preserve">https://r-hockey.ru/team/10481-Locomotiv/roster/2025/24932</x:t>
        </x:is>
      </x:c>
    </x:row>
    <x:row r="197">
      <x:c r="A197" s="67" t="inlineStr">
        <x:is>
          <x:t xml:space="preserve">Шпилев Артем</x:t>
        </x:is>
      </x:c>
      <x:c r="B197" s="67" t="inlineStr">
        <x:is>
          <x:t xml:space="preserve">Локомотив</x:t>
        </x:is>
      </x:c>
      <x:c r="C197" s="67" t="inlineStr">
        <x:is>
          <x:t xml:space="preserve">Вратарь</x:t>
        </x:is>
      </x:c>
      <x:c r="D197" s="67" t="inlineStr">
        <x:is>
          <x:t xml:space="preserve">Да</x:t>
        </x:is>
      </x:c>
      <x:c r="E197" s="67" t="inlineStr">
        <x:is>
          <x:t xml:space="preserve">https://r-hockey.ru/team/10481-Locomotiv/roster/2025/24932</x:t>
        </x:is>
      </x:c>
    </x:row>
    <x:row r="198">
      <x:c r="A198" s="67" t="inlineStr">
        <x:is>
          <x:t xml:space="preserve">Буровцев Дмитрий</x:t>
        </x:is>
      </x:c>
      <x:c r="B198" s="67" t="inlineStr">
        <x:is>
          <x:t xml:space="preserve">Локомотив</x:t>
        </x:is>
      </x:c>
      <x:c r="C198" s="67" t="inlineStr">
        <x:is>
          <x:t xml:space="preserve">Защитник</x:t>
        </x:is>
      </x:c>
      <x:c r="D198" s="67" t="inlineStr">
        <x:is>
          <x:t xml:space="preserve">Да</x:t>
        </x:is>
      </x:c>
      <x:c r="E198" s="67" t="inlineStr">
        <x:is>
          <x:t xml:space="preserve">https://r-hockey.ru/team/10481-Locomotiv/roster/2025/24932</x:t>
        </x:is>
      </x:c>
    </x:row>
    <x:row r="199">
      <x:c r="A199" s="67" t="inlineStr">
        <x:is>
          <x:t xml:space="preserve">Гарапучик Алексей</x:t>
        </x:is>
      </x:c>
      <x:c r="B199" s="67" t="inlineStr">
        <x:is>
          <x:t xml:space="preserve">Локомотив</x:t>
        </x:is>
      </x:c>
      <x:c r="C199" s="67" t="inlineStr">
        <x:is>
          <x:t xml:space="preserve">Защитник</x:t>
        </x:is>
      </x:c>
      <x:c r="D199" s="67" t="inlineStr">
        <x:is>
          <x:t xml:space="preserve">Да</x:t>
        </x:is>
      </x:c>
      <x:c r="E199" s="67" t="inlineStr">
        <x:is>
          <x:t xml:space="preserve">https://r-hockey.ru/team/10481-Locomotiv/roster/2025/24932</x:t>
        </x:is>
      </x:c>
    </x:row>
    <x:row r="200">
      <x:c r="A200" s="67" t="inlineStr">
        <x:is>
          <x:t xml:space="preserve">Ерохо Вадим</x:t>
        </x:is>
      </x:c>
      <x:c r="B200" s="67" t="inlineStr">
        <x:is>
          <x:t xml:space="preserve">Локомотив</x:t>
        </x:is>
      </x:c>
      <x:c r="C200" s="67" t="inlineStr">
        <x:is>
          <x:t xml:space="preserve">Защитник</x:t>
        </x:is>
      </x:c>
      <x:c r="D200" s="67" t="inlineStr">
        <x:is>
          <x:t xml:space="preserve">Да</x:t>
        </x:is>
      </x:c>
      <x:c r="E200" s="67" t="inlineStr">
        <x:is>
          <x:t xml:space="preserve">https://r-hockey.ru/team/10481-Locomotiv/roster/2025/24932</x:t>
        </x:is>
      </x:c>
    </x:row>
    <x:row r="201">
      <x:c r="A201" s="67" t="inlineStr">
        <x:is>
          <x:t xml:space="preserve">Магер Влас</x:t>
        </x:is>
      </x:c>
      <x:c r="B201" s="67" t="inlineStr">
        <x:is>
          <x:t xml:space="preserve">Локомотив</x:t>
        </x:is>
      </x:c>
      <x:c r="C201" s="67" t="inlineStr">
        <x:is>
          <x:t xml:space="preserve">Защитник</x:t>
        </x:is>
      </x:c>
      <x:c r="D201" s="67" t="inlineStr">
        <x:is>
          <x:t xml:space="preserve">Да</x:t>
        </x:is>
      </x:c>
      <x:c r="E201" s="67" t="inlineStr">
        <x:is>
          <x:t xml:space="preserve">https://r-hockey.ru/team/10481-Locomotiv/roster/2025/24932</x:t>
        </x:is>
      </x:c>
    </x:row>
    <x:row r="202">
      <x:c r="A202" s="67" t="inlineStr">
        <x:is>
          <x:t xml:space="preserve">Петров Илья</x:t>
        </x:is>
      </x:c>
      <x:c r="B202" s="67" t="inlineStr">
        <x:is>
          <x:t xml:space="preserve">Локомотив</x:t>
        </x:is>
      </x:c>
      <x:c r="C202" s="67" t="inlineStr">
        <x:is>
          <x:t xml:space="preserve">Защитник</x:t>
        </x:is>
      </x:c>
      <x:c r="D202" s="67" t="inlineStr">
        <x:is>
          <x:t xml:space="preserve">Да</x:t>
        </x:is>
      </x:c>
      <x:c r="E202" s="67" t="inlineStr">
        <x:is>
          <x:t xml:space="preserve">https://r-hockey.ru/team/10481-Locomotiv/roster/2025/24932</x:t>
        </x:is>
      </x:c>
    </x:row>
    <x:row r="203">
      <x:c r="A203" s="67" t="inlineStr">
        <x:is>
          <x:t xml:space="preserve">Рогач Даниил</x:t>
        </x:is>
      </x:c>
      <x:c r="B203" s="67" t="inlineStr">
        <x:is>
          <x:t xml:space="preserve">Локомотив</x:t>
        </x:is>
      </x:c>
      <x:c r="C203" s="67" t="inlineStr">
        <x:is>
          <x:t xml:space="preserve">Защитник</x:t>
        </x:is>
      </x:c>
      <x:c r="D203" s="67" t="inlineStr">
        <x:is>
          <x:t xml:space="preserve">Да</x:t>
        </x:is>
      </x:c>
      <x:c r="E203" s="67" t="inlineStr">
        <x:is>
          <x:t xml:space="preserve">https://r-hockey.ru/team/10481-Locomotiv/roster/2025/24932</x:t>
        </x:is>
      </x:c>
    </x:row>
    <x:row r="204">
      <x:c r="A204" s="67" t="inlineStr">
        <x:is>
          <x:t xml:space="preserve">Савельев Антон</x:t>
        </x:is>
      </x:c>
      <x:c r="B204" s="67" t="inlineStr">
        <x:is>
          <x:t xml:space="preserve">Локомотив</x:t>
        </x:is>
      </x:c>
      <x:c r="C204" s="67" t="inlineStr">
        <x:is>
          <x:t xml:space="preserve">Защитник</x:t>
        </x:is>
      </x:c>
      <x:c r="D204" s="67" t="inlineStr">
        <x:is>
          <x:t xml:space="preserve">Да</x:t>
        </x:is>
      </x:c>
      <x:c r="E204" s="67" t="inlineStr">
        <x:is>
          <x:t xml:space="preserve">https://r-hockey.ru/team/10481-Locomotiv/roster/2025/24932</x:t>
        </x:is>
      </x:c>
    </x:row>
    <x:row r="205">
      <x:c r="A205" s="67" t="inlineStr">
        <x:is>
          <x:t xml:space="preserve">Толопило Максим</x:t>
        </x:is>
      </x:c>
      <x:c r="B205" s="67" t="inlineStr">
        <x:is>
          <x:t xml:space="preserve">Локомотив</x:t>
        </x:is>
      </x:c>
      <x:c r="C205" s="67" t="inlineStr">
        <x:is>
          <x:t xml:space="preserve">Защитник</x:t>
        </x:is>
      </x:c>
      <x:c r="D205" s="67" t="inlineStr">
        <x:is>
          <x:t xml:space="preserve">Да</x:t>
        </x:is>
      </x:c>
      <x:c r="E205" s="67" t="inlineStr">
        <x:is>
          <x:t xml:space="preserve">https://r-hockey.ru/team/10481-Locomotiv/roster/2025/24932</x:t>
        </x:is>
      </x:c>
    </x:row>
    <x:row r="206">
      <x:c r="A206" s="67" t="inlineStr">
        <x:is>
          <x:t xml:space="preserve">Балаболкин Илья</x:t>
        </x:is>
      </x:c>
      <x:c r="B206" s="67" t="inlineStr">
        <x:is>
          <x:t xml:space="preserve">Локомотив</x:t>
        </x:is>
      </x:c>
      <x:c r="C206" s="67" t="inlineStr">
        <x:is>
          <x:t xml:space="preserve">Нападающий</x:t>
        </x:is>
      </x:c>
      <x:c r="D206" s="67" t="inlineStr">
        <x:is>
          <x:t xml:space="preserve">Да</x:t>
        </x:is>
      </x:c>
      <x:c r="E206" s="67" t="inlineStr">
        <x:is>
          <x:t xml:space="preserve">https://r-hockey.ru/team/10481-Locomotiv/roster/2025/24932</x:t>
        </x:is>
      </x:c>
    </x:row>
    <x:row r="207">
      <x:c r="A207" s="67" t="inlineStr">
        <x:is>
          <x:t xml:space="preserve">Борозна Тихон</x:t>
        </x:is>
      </x:c>
      <x:c r="B207" s="67" t="inlineStr">
        <x:is>
          <x:t xml:space="preserve">Локомотив</x:t>
        </x:is>
      </x:c>
      <x:c r="C207" s="67" t="inlineStr">
        <x:is>
          <x:t xml:space="preserve">Нападающий</x:t>
        </x:is>
      </x:c>
      <x:c r="D207" s="67" t="inlineStr">
        <x:is>
          <x:t xml:space="preserve">Да</x:t>
        </x:is>
      </x:c>
      <x:c r="E207" s="67" t="inlineStr">
        <x:is>
          <x:t xml:space="preserve">https://r-hockey.ru/team/10481-Locomotiv/roster/2025/24932</x:t>
        </x:is>
      </x:c>
    </x:row>
    <x:row r="208">
      <x:c r="A208" s="67" t="inlineStr">
        <x:is>
          <x:t xml:space="preserve">Буйко Владислав</x:t>
        </x:is>
      </x:c>
      <x:c r="B208" s="67" t="inlineStr">
        <x:is>
          <x:t xml:space="preserve">Локомотив</x:t>
        </x:is>
      </x:c>
      <x:c r="C208" s="67" t="inlineStr">
        <x:is>
          <x:t xml:space="preserve">Нападающий</x:t>
        </x:is>
      </x:c>
      <x:c r="D208" s="67" t="inlineStr">
        <x:is>
          <x:t xml:space="preserve">Да</x:t>
        </x:is>
      </x:c>
      <x:c r="E208" s="67" t="inlineStr">
        <x:is>
          <x:t xml:space="preserve">https://r-hockey.ru/team/10481-Locomotiv/roster/2025/24932</x:t>
        </x:is>
      </x:c>
    </x:row>
    <x:row r="209">
      <x:c r="A209" s="67" t="inlineStr">
        <x:is>
          <x:t xml:space="preserve">Былина Глеб</x:t>
        </x:is>
      </x:c>
      <x:c r="B209" s="67" t="inlineStr">
        <x:is>
          <x:t xml:space="preserve">Локомотив</x:t>
        </x:is>
      </x:c>
      <x:c r="C209" s="67" t="inlineStr">
        <x:is>
          <x:t xml:space="preserve">Нападающий</x:t>
        </x:is>
      </x:c>
      <x:c r="D209" s="67" t="inlineStr">
        <x:is>
          <x:t xml:space="preserve">Да</x:t>
        </x:is>
      </x:c>
      <x:c r="E209" s="67" t="inlineStr">
        <x:is>
          <x:t xml:space="preserve">https://r-hockey.ru/team/10481-Locomotiv/roster/2025/24932</x:t>
        </x:is>
      </x:c>
    </x:row>
    <x:row r="210">
      <x:c r="A210" s="67" t="inlineStr">
        <x:is>
          <x:t xml:space="preserve">Гильманов Артур</x:t>
        </x:is>
      </x:c>
      <x:c r="B210" s="67" t="inlineStr">
        <x:is>
          <x:t xml:space="preserve">Локомотив</x:t>
        </x:is>
      </x:c>
      <x:c r="C210" s="67" t="inlineStr">
        <x:is>
          <x:t xml:space="preserve">Нападающий</x:t>
        </x:is>
      </x:c>
      <x:c r="D210" s="67" t="inlineStr">
        <x:is>
          <x:t xml:space="preserve">Да</x:t>
        </x:is>
      </x:c>
      <x:c r="E210" s="67" t="inlineStr">
        <x:is>
          <x:t xml:space="preserve">https://r-hockey.ru/team/10481-Locomotiv/roster/2025/24932</x:t>
        </x:is>
      </x:c>
    </x:row>
    <x:row r="211">
      <x:c r="A211" s="67" t="inlineStr">
        <x:is>
          <x:t xml:space="preserve">Дадонов Евгений</x:t>
        </x:is>
      </x:c>
      <x:c r="B211" s="67" t="inlineStr">
        <x:is>
          <x:t xml:space="preserve">Локомотив</x:t>
        </x:is>
      </x:c>
      <x:c r="C211" s="67" t="inlineStr">
        <x:is>
          <x:t xml:space="preserve">Нападающий</x:t>
        </x:is>
      </x:c>
      <x:c r="D211" s="67" t="inlineStr">
        <x:is>
          <x:t xml:space="preserve">Да</x:t>
        </x:is>
      </x:c>
      <x:c r="E211" s="67" t="inlineStr">
        <x:is>
          <x:t xml:space="preserve">https://r-hockey.ru/team/10481-Locomotiv/roster/2025/24932</x:t>
        </x:is>
      </x:c>
    </x:row>
    <x:row r="212">
      <x:c r="A212" s="67" t="inlineStr">
        <x:is>
          <x:t xml:space="preserve">Игнатов Кирилл</x:t>
        </x:is>
      </x:c>
      <x:c r="B212" s="67" t="inlineStr">
        <x:is>
          <x:t xml:space="preserve">Локомотив</x:t>
        </x:is>
      </x:c>
      <x:c r="C212" s="67" t="inlineStr">
        <x:is>
          <x:t xml:space="preserve">Нападающий</x:t>
        </x:is>
      </x:c>
      <x:c r="D212" s="67" t="inlineStr">
        <x:is>
          <x:t xml:space="preserve">Да</x:t>
        </x:is>
      </x:c>
      <x:c r="E212" s="67" t="inlineStr">
        <x:is>
          <x:t xml:space="preserve">https://r-hockey.ru/team/10481-Locomotiv/roster/2025/24932</x:t>
        </x:is>
      </x:c>
    </x:row>
    <x:row r="213">
      <x:c r="A213" s="67" t="inlineStr">
        <x:is>
          <x:t xml:space="preserve">Кришталь Георгий</x:t>
        </x:is>
      </x:c>
      <x:c r="B213" s="67" t="inlineStr">
        <x:is>
          <x:t xml:space="preserve">Локомотив</x:t>
        </x:is>
      </x:c>
      <x:c r="C213" s="67" t="inlineStr">
        <x:is>
          <x:t xml:space="preserve">Нападающий</x:t>
        </x:is>
      </x:c>
      <x:c r="D213" s="67" t="inlineStr">
        <x:is>
          <x:t xml:space="preserve">Да</x:t>
        </x:is>
      </x:c>
      <x:c r="E213" s="67" t="inlineStr">
        <x:is>
          <x:t xml:space="preserve">https://r-hockey.ru/team/10481-Locomotiv/roster/2025/24932</x:t>
        </x:is>
      </x:c>
    </x:row>
    <x:row r="214">
      <x:c r="A214" s="67" t="inlineStr">
        <x:is>
          <x:t xml:space="preserve">Кунцевич Евгений</x:t>
        </x:is>
      </x:c>
      <x:c r="B214" s="67" t="inlineStr">
        <x:is>
          <x:t xml:space="preserve">Локомотив</x:t>
        </x:is>
      </x:c>
      <x:c r="C214" s="67" t="inlineStr">
        <x:is>
          <x:t xml:space="preserve">Нападающий</x:t>
        </x:is>
      </x:c>
      <x:c r="D214" s="67" t="inlineStr">
        <x:is>
          <x:t xml:space="preserve">Да</x:t>
        </x:is>
      </x:c>
      <x:c r="E214" s="67" t="inlineStr">
        <x:is>
          <x:t xml:space="preserve">https://r-hockey.ru/team/10481-Locomotiv/roster/2025/24932</x:t>
        </x:is>
      </x:c>
    </x:row>
    <x:row r="215">
      <x:c r="A215" s="67" t="inlineStr">
        <x:is>
          <x:t xml:space="preserve">Лапин Иван</x:t>
        </x:is>
      </x:c>
      <x:c r="B215" s="67" t="inlineStr">
        <x:is>
          <x:t xml:space="preserve">Локомотив</x:t>
        </x:is>
      </x:c>
      <x:c r="C215" s="67" t="inlineStr">
        <x:is>
          <x:t xml:space="preserve">Нападающий</x:t>
        </x:is>
      </x:c>
      <x:c r="D215" s="67" t="inlineStr">
        <x:is>
          <x:t xml:space="preserve">Да</x:t>
        </x:is>
      </x:c>
      <x:c r="E215" s="67" t="inlineStr">
        <x:is>
          <x:t xml:space="preserve">https://r-hockey.ru/team/10481-Locomotiv/roster/2025/24932</x:t>
        </x:is>
      </x:c>
    </x:row>
    <x:row r="216">
      <x:c r="A216" s="67" t="inlineStr">
        <x:is>
          <x:t xml:space="preserve">Мельников Максим</x:t>
        </x:is>
      </x:c>
      <x:c r="B216" s="67" t="inlineStr">
        <x:is>
          <x:t xml:space="preserve">Локомотив</x:t>
        </x:is>
      </x:c>
      <x:c r="C216" s="67" t="inlineStr">
        <x:is>
          <x:t xml:space="preserve">Нападающий</x:t>
        </x:is>
      </x:c>
      <x:c r="D216" s="67" t="inlineStr">
        <x:is>
          <x:t xml:space="preserve">Да</x:t>
        </x:is>
      </x:c>
      <x:c r="E216" s="67" t="inlineStr">
        <x:is>
          <x:t xml:space="preserve">https://r-hockey.ru/team/10481-Locomotiv/roster/2025/24932</x:t>
        </x:is>
      </x:c>
    </x:row>
    <x:row r="217">
      <x:c r="A217" s="67" t="inlineStr">
        <x:is>
          <x:t xml:space="preserve">Мищенко Григорий</x:t>
        </x:is>
      </x:c>
      <x:c r="B217" s="67" t="inlineStr">
        <x:is>
          <x:t xml:space="preserve">Локомотив</x:t>
        </x:is>
      </x:c>
      <x:c r="C217" s="67" t="inlineStr">
        <x:is>
          <x:t xml:space="preserve">Нападающий</x:t>
        </x:is>
      </x:c>
      <x:c r="D217" s="67" t="inlineStr">
        <x:is>
          <x:t xml:space="preserve">Да</x:t>
        </x:is>
      </x:c>
      <x:c r="E217" s="67" t="inlineStr">
        <x:is>
          <x:t xml:space="preserve">https://r-hockey.ru/team/10481-Locomotiv/roster/2025/24932</x:t>
        </x:is>
      </x:c>
    </x:row>
    <x:row r="218">
      <x:c r="A218" s="67" t="inlineStr">
        <x:is>
          <x:t xml:space="preserve">Ноздрачев Евгений</x:t>
        </x:is>
      </x:c>
      <x:c r="B218" s="67" t="inlineStr">
        <x:is>
          <x:t xml:space="preserve">Локомотив</x:t>
        </x:is>
      </x:c>
      <x:c r="C218" s="67" t="inlineStr">
        <x:is>
          <x:t xml:space="preserve">Нападающий</x:t>
        </x:is>
      </x:c>
      <x:c r="D218" s="67" t="inlineStr">
        <x:is>
          <x:t xml:space="preserve">Да</x:t>
        </x:is>
      </x:c>
      <x:c r="E218" s="67" t="inlineStr">
        <x:is>
          <x:t xml:space="preserve">https://r-hockey.ru/team/10481-Locomotiv/roster/2025/24932</x:t>
        </x:is>
      </x:c>
    </x:row>
    <x:row r="219">
      <x:c r="A219" s="67" t="inlineStr">
        <x:is>
          <x:t xml:space="preserve">Оксентюк Евгений</x:t>
        </x:is>
      </x:c>
      <x:c r="B219" s="67" t="inlineStr">
        <x:is>
          <x:t xml:space="preserve">Локомотив</x:t>
        </x:is>
      </x:c>
      <x:c r="C219" s="67" t="inlineStr">
        <x:is>
          <x:t xml:space="preserve">Нападающий</x:t>
        </x:is>
      </x:c>
      <x:c r="D219" s="67" t="inlineStr">
        <x:is>
          <x:t xml:space="preserve">Да</x:t>
        </x:is>
      </x:c>
      <x:c r="E219" s="67" t="inlineStr">
        <x:is>
          <x:t xml:space="preserve">https://r-hockey.ru/team/10481-Locomotiv/roster/2025/24932</x:t>
        </x:is>
      </x:c>
    </x:row>
    <x:row r="220">
      <x:c r="A220" s="67" t="inlineStr">
        <x:is>
          <x:t xml:space="preserve">Перегуда Андрей</x:t>
        </x:is>
      </x:c>
      <x:c r="B220" s="67" t="inlineStr">
        <x:is>
          <x:t xml:space="preserve">Локомотив</x:t>
        </x:is>
      </x:c>
      <x:c r="C220" s="67" t="inlineStr">
        <x:is>
          <x:t xml:space="preserve">Нападающий</x:t>
        </x:is>
      </x:c>
      <x:c r="D220" s="67" t="inlineStr">
        <x:is>
          <x:t xml:space="preserve">Да</x:t>
        </x:is>
      </x:c>
      <x:c r="E220" s="67" t="inlineStr">
        <x:is>
          <x:t xml:space="preserve">https://r-hockey.ru/team/10481-Locomotiv/roster/2025/24932</x:t>
        </x:is>
      </x:c>
    </x:row>
    <x:row r="221">
      <x:c r="A221" s="67" t="inlineStr">
        <x:is>
          <x:t xml:space="preserve">Рычков</x:t>
        </x:is>
      </x:c>
      <x:c r="B221" s="67" t="inlineStr">
        <x:is>
          <x:t xml:space="preserve">Локомотив</x:t>
        </x:is>
      </x:c>
      <x:c r="C221" s="67" t="inlineStr">
        <x:is>
          <x:t xml:space="preserve">Нападающий</x:t>
        </x:is>
      </x:c>
      <x:c r="D221" s="67" t="inlineStr">
        <x:is>
          <x:t xml:space="preserve">Да</x:t>
        </x:is>
      </x:c>
      <x:c r="E221" s="67" t="inlineStr">
        <x:is>
          <x:t xml:space="preserve">https://r-hockey.ru/team/10481-Locomotiv/roster/2025/24932</x:t>
        </x:is>
      </x:c>
    </x:row>
    <x:row r="222">
      <x:c r="A222" s="67" t="inlineStr">
        <x:is>
          <x:t xml:space="preserve">Рычков Илья</x:t>
        </x:is>
      </x:c>
      <x:c r="B222" s="67" t="inlineStr">
        <x:is>
          <x:t xml:space="preserve">Локомотив</x:t>
        </x:is>
      </x:c>
      <x:c r="C222" s="67" t="inlineStr">
        <x:is>
          <x:t xml:space="preserve">Нападающий</x:t>
        </x:is>
      </x:c>
      <x:c r="D222" s="67" t="inlineStr">
        <x:is>
          <x:t xml:space="preserve">Да</x:t>
        </x:is>
      </x:c>
      <x:c r="E222" s="67" t="inlineStr">
        <x:is>
          <x:t xml:space="preserve">https://r-hockey.ru/team/10481-Locomotiv/roster/2025/24932</x:t>
        </x:is>
      </x:c>
    </x:row>
    <x:row r="223">
      <x:c r="A223" s="67" t="inlineStr">
        <x:is>
          <x:t xml:space="preserve">Субботин Максим</x:t>
        </x:is>
      </x:c>
      <x:c r="B223" s="67" t="inlineStr">
        <x:is>
          <x:t xml:space="preserve">Локомотив</x:t>
        </x:is>
      </x:c>
      <x:c r="C223" s="67" t="inlineStr">
        <x:is>
          <x:t xml:space="preserve">Нападающий</x:t>
        </x:is>
      </x:c>
      <x:c r="D223" s="67" t="inlineStr">
        <x:is>
          <x:t xml:space="preserve">Да</x:t>
        </x:is>
      </x:c>
      <x:c r="E223" s="67" t="inlineStr">
        <x:is>
          <x:t xml:space="preserve">https://r-hockey.ru/team/10481-Locomotiv/roster/2025/24932</x:t>
        </x:is>
      </x:c>
    </x:row>
    <x:row r="224">
      <x:c r="A224" s="67" t="inlineStr">
        <x:is>
          <x:t xml:space="preserve">Александр Осипков</x:t>
        </x:is>
      </x:c>
      <x:c r="B224" s="67" t="inlineStr">
        <x:is>
          <x:t xml:space="preserve">Металлург</x:t>
        </x:is>
      </x:c>
      <x:c r="C224" s="67" t="inlineStr">
        <x:is>
          <x:t xml:space="preserve">Вратарь</x:t>
        </x:is>
      </x:c>
      <x:c r="D224" s="67" t="inlineStr">
        <x:is>
          <x:t xml:space="preserve">Да</x:t>
        </x:is>
      </x:c>
      <x:c r="E224" s="67" t="inlineStr">
        <x:is>
          <x:t xml:space="preserve">https://belarushockey.com/rb/news/2025/09/06/zhlobinskij-metallurg-predstavil-roster-komandy/</x:t>
        </x:is>
      </x:c>
    </x:row>
    <x:row r="225">
      <x:c r="A225" s="67" t="inlineStr">
        <x:is>
          <x:t xml:space="preserve">Владислав Тюликов</x:t>
        </x:is>
      </x:c>
      <x:c r="B225" s="67" t="inlineStr">
        <x:is>
          <x:t xml:space="preserve">Металлург</x:t>
        </x:is>
      </x:c>
      <x:c r="C225" s="67" t="inlineStr">
        <x:is>
          <x:t xml:space="preserve">Вратарь</x:t>
        </x:is>
      </x:c>
      <x:c r="D225" s="67" t="inlineStr">
        <x:is>
          <x:t xml:space="preserve">Да</x:t>
        </x:is>
      </x:c>
      <x:c r="E225" s="67" t="inlineStr">
        <x:is>
          <x:t xml:space="preserve">https://belarushockey.com/rb/news/2025/09/06/zhlobinskij-metallurg-predstavil-roster-komandy/</x:t>
        </x:is>
      </x:c>
    </x:row>
    <x:row r="226">
      <x:c r="A226" s="67" t="inlineStr">
        <x:is>
          <x:t xml:space="preserve">Константин Кузмаул</x:t>
        </x:is>
      </x:c>
      <x:c r="B226" s="67" t="inlineStr">
        <x:is>
          <x:t xml:space="preserve">Металлург</x:t>
        </x:is>
      </x:c>
      <x:c r="C226" s="67" t="inlineStr">
        <x:is>
          <x:t xml:space="preserve">Вратарь</x:t>
        </x:is>
      </x:c>
      <x:c r="D226" s="67" t="inlineStr">
        <x:is>
          <x:t xml:space="preserve">Да</x:t>
        </x:is>
      </x:c>
      <x:c r="E226" s="67" t="inlineStr">
        <x:is>
          <x:t xml:space="preserve">https://belarushockey.com/rb/news/2025/09/06/zhlobinskij-metallurg-predstavil-roster-komandy/</x:t>
        </x:is>
      </x:c>
    </x:row>
    <x:row r="227">
      <x:c r="A227" s="67" t="inlineStr">
        <x:is>
          <x:t xml:space="preserve">Андрей Геращенко</x:t>
        </x:is>
      </x:c>
      <x:c r="B227" s="67" t="inlineStr">
        <x:is>
          <x:t xml:space="preserve">Металлург</x:t>
        </x:is>
      </x:c>
      <x:c r="C227" s="67" t="inlineStr">
        <x:is>
          <x:t xml:space="preserve">Защитник</x:t>
        </x:is>
      </x:c>
      <x:c r="D227" s="67" t="inlineStr">
        <x:is>
          <x:t xml:space="preserve">Да</x:t>
        </x:is>
      </x:c>
      <x:c r="E227" s="67" t="inlineStr">
        <x:is>
          <x:t xml:space="preserve">https://belarushockey.com/rb/news/2025/09/06/zhlobinskij-metallurg-predstavil-roster-komandy/</x:t>
        </x:is>
      </x:c>
    </x:row>
    <x:row r="228">
      <x:c r="A228" s="67" t="inlineStr">
        <x:is>
          <x:t xml:space="preserve">Артем Волченков</x:t>
        </x:is>
      </x:c>
      <x:c r="B228" s="67" t="inlineStr">
        <x:is>
          <x:t xml:space="preserve">Металлург</x:t>
        </x:is>
      </x:c>
      <x:c r="C228" s="67" t="inlineStr">
        <x:is>
          <x:t xml:space="preserve">Защитник</x:t>
        </x:is>
      </x:c>
      <x:c r="D228" s="67" t="inlineStr">
        <x:is>
          <x:t xml:space="preserve">Да</x:t>
        </x:is>
      </x:c>
      <x:c r="E228" s="67" t="inlineStr">
        <x:is>
          <x:t xml:space="preserve">https://belarushockey.com/rb/news/2025/09/06/zhlobinskij-metallurg-predstavil-roster-komandy/</x:t>
        </x:is>
      </x:c>
    </x:row>
    <x:row r="229">
      <x:c r="A229" s="67" t="inlineStr">
        <x:is>
          <x:t xml:space="preserve">Владимир Ерменков</x:t>
        </x:is>
      </x:c>
      <x:c r="B229" s="67" t="inlineStr">
        <x:is>
          <x:t xml:space="preserve">Металлург</x:t>
        </x:is>
      </x:c>
      <x:c r="C229" s="67" t="inlineStr">
        <x:is>
          <x:t xml:space="preserve">Защитник</x:t>
        </x:is>
      </x:c>
      <x:c r="D229" s="67" t="inlineStr">
        <x:is>
          <x:t xml:space="preserve">Да</x:t>
        </x:is>
      </x:c>
      <x:c r="E229" s="67" t="inlineStr">
        <x:is>
          <x:t xml:space="preserve">https://belarushockey.com/rb/news/2025/09/06/zhlobinskij-metallurg-predstavil-roster-komandy/</x:t>
        </x:is>
      </x:c>
    </x:row>
    <x:row r="230">
      <x:c r="A230" s="67" t="inlineStr">
        <x:is>
          <x:t xml:space="preserve">Владислав Наумов</x:t>
        </x:is>
      </x:c>
      <x:c r="B230" s="67" t="inlineStr">
        <x:is>
          <x:t xml:space="preserve">Металлург</x:t>
        </x:is>
      </x:c>
      <x:c r="C230" s="67" t="inlineStr">
        <x:is>
          <x:t xml:space="preserve">Защитник</x:t>
        </x:is>
      </x:c>
      <x:c r="D230" s="67" t="inlineStr">
        <x:is>
          <x:t xml:space="preserve">Да</x:t>
        </x:is>
      </x:c>
      <x:c r="E230" s="67" t="inlineStr">
        <x:is>
          <x:t xml:space="preserve">https://belarushockey.com/rb/news/2025/09/06/zhlobinskij-metallurg-predstavil-roster-komandy/</x:t>
        </x:is>
      </x:c>
    </x:row>
    <x:row r="231">
      <x:c r="A231" s="67" t="inlineStr">
        <x:is>
          <x:t xml:space="preserve">Владислав Соколовский</x:t>
        </x:is>
      </x:c>
      <x:c r="B231" s="67" t="inlineStr">
        <x:is>
          <x:t xml:space="preserve">Металлург</x:t>
        </x:is>
      </x:c>
      <x:c r="C231" s="67" t="inlineStr">
        <x:is>
          <x:t xml:space="preserve">Защитник</x:t>
        </x:is>
      </x:c>
      <x:c r="D231" s="67" t="inlineStr">
        <x:is>
          <x:t xml:space="preserve">Да</x:t>
        </x:is>
      </x:c>
      <x:c r="E231" s="67" t="inlineStr">
        <x:is>
          <x:t xml:space="preserve">https://belarushockey.com/rb/news/2025/09/06/zhlobinskij-metallurg-predstavil-roster-komandy/</x:t>
        </x:is>
      </x:c>
    </x:row>
    <x:row r="232">
      <x:c r="A232" s="67" t="inlineStr">
        <x:is>
          <x:t xml:space="preserve">Вячеслав Грамович</x:t>
        </x:is>
      </x:c>
      <x:c r="B232" s="67" t="inlineStr">
        <x:is>
          <x:t xml:space="preserve">Металлург</x:t>
        </x:is>
      </x:c>
      <x:c r="C232" s="67" t="inlineStr">
        <x:is>
          <x:t xml:space="preserve">Защитник</x:t>
        </x:is>
      </x:c>
      <x:c r="D232" s="67" t="inlineStr">
        <x:is>
          <x:t xml:space="preserve">Да</x:t>
        </x:is>
      </x:c>
      <x:c r="E232" s="67" t="inlineStr">
        <x:is>
          <x:t xml:space="preserve">https://belarushockey.com/rb/news/2025/09/06/zhlobinskij-metallurg-predstavil-roster-komandy/</x:t>
        </x:is>
      </x:c>
    </x:row>
    <x:row r="233">
      <x:c r="A233" s="67" t="inlineStr">
        <x:is>
          <x:t xml:space="preserve">Егор Залитов</x:t>
        </x:is>
      </x:c>
      <x:c r="B233" s="67" t="inlineStr">
        <x:is>
          <x:t xml:space="preserve">Металлург</x:t>
        </x:is>
      </x:c>
      <x:c r="C233" s="67" t="inlineStr">
        <x:is>
          <x:t xml:space="preserve">Защитник</x:t>
        </x:is>
      </x:c>
      <x:c r="D233" s="67" t="inlineStr">
        <x:is>
          <x:t xml:space="preserve">Да</x:t>
        </x:is>
      </x:c>
      <x:c r="E233" s="67" t="inlineStr">
        <x:is>
          <x:t xml:space="preserve">https://belarushockey.com/rb/news/2025/09/06/zhlobinskij-metallurg-predstavil-roster-komandy/</x:t>
        </x:is>
      </x:c>
    </x:row>
    <x:row r="234">
      <x:c r="A234" s="67" t="inlineStr">
        <x:is>
          <x:t xml:space="preserve">Кирилл Гришков</x:t>
        </x:is>
      </x:c>
      <x:c r="B234" s="67" t="inlineStr">
        <x:is>
          <x:t xml:space="preserve">Металлург</x:t>
        </x:is>
      </x:c>
      <x:c r="C234" s="67" t="inlineStr">
        <x:is>
          <x:t xml:space="preserve">Защитник</x:t>
        </x:is>
      </x:c>
      <x:c r="D234" s="67" t="inlineStr">
        <x:is>
          <x:t xml:space="preserve">Да</x:t>
        </x:is>
      </x:c>
      <x:c r="E234" s="67" t="inlineStr">
        <x:is>
          <x:t xml:space="preserve">https://belarushockey.com/rb/news/2025/09/06/zhlobinskij-metallurg-predstavil-roster-komandy/</x:t>
        </x:is>
      </x:c>
    </x:row>
    <x:row r="235">
      <x:c r="A235" s="67" t="inlineStr">
        <x:is>
          <x:t xml:space="preserve">Константин Бобрик</x:t>
        </x:is>
      </x:c>
      <x:c r="B235" s="67" t="inlineStr">
        <x:is>
          <x:t xml:space="preserve">Металлург</x:t>
        </x:is>
      </x:c>
      <x:c r="C235" s="67" t="inlineStr">
        <x:is>
          <x:t xml:space="preserve">Защитник</x:t>
        </x:is>
      </x:c>
      <x:c r="D235" s="67" t="inlineStr">
        <x:is>
          <x:t xml:space="preserve">Да</x:t>
        </x:is>
      </x:c>
      <x:c r="E235" s="67" t="inlineStr">
        <x:is>
          <x:t xml:space="preserve">https://belarushockey.com/rb/news/2025/09/06/zhlobinskij-metallurg-predstavil-roster-komandy/</x:t>
        </x:is>
      </x:c>
    </x:row>
    <x:row r="236">
      <x:c r="A236" s="67" t="inlineStr">
        <x:is>
          <x:t xml:space="preserve">Александр Шевченко</x:t>
        </x:is>
      </x:c>
      <x:c r="B236" s="67" t="inlineStr">
        <x:is>
          <x:t xml:space="preserve">Металлург</x:t>
        </x:is>
      </x:c>
      <x:c r="C236" s="67" t="inlineStr">
        <x:is>
          <x:t xml:space="preserve">Нападающий</x:t>
        </x:is>
      </x:c>
      <x:c r="D236" s="67" t="inlineStr">
        <x:is>
          <x:t xml:space="preserve">Да</x:t>
        </x:is>
      </x:c>
      <x:c r="E236" s="67" t="inlineStr">
        <x:is>
          <x:t xml:space="preserve">https://belarushockey.com/rb/news/2025/09/06/zhlobinskij-metallurg-predstavil-roster-komandy/</x:t>
        </x:is>
      </x:c>
    </x:row>
    <x:row r="237">
      <x:c r="A237" s="67" t="inlineStr">
        <x:is>
          <x:t xml:space="preserve">Антон Лазаренко</x:t>
        </x:is>
      </x:c>
      <x:c r="B237" s="67" t="inlineStr">
        <x:is>
          <x:t xml:space="preserve">Металлург</x:t>
        </x:is>
      </x:c>
      <x:c r="C237" s="67" t="inlineStr">
        <x:is>
          <x:t xml:space="preserve">Нападающий</x:t>
        </x:is>
      </x:c>
      <x:c r="D237" s="67" t="inlineStr">
        <x:is>
          <x:t xml:space="preserve">Да</x:t>
        </x:is>
      </x:c>
      <x:c r="E237" s="67" t="inlineStr">
        <x:is>
          <x:t xml:space="preserve">https://belarushockey.com/rb/news/2025/09/06/zhlobinskij-metallurg-predstavil-roster-komandy/</x:t>
        </x:is>
      </x:c>
    </x:row>
    <x:row r="238">
      <x:c r="A238" s="67" t="inlineStr">
        <x:is>
          <x:t xml:space="preserve">Виктор Бовбель</x:t>
        </x:is>
      </x:c>
      <x:c r="B238" s="67" t="inlineStr">
        <x:is>
          <x:t xml:space="preserve">Металлург</x:t>
        </x:is>
      </x:c>
      <x:c r="C238" s="67" t="inlineStr">
        <x:is>
          <x:t xml:space="preserve">Нападающий</x:t>
        </x:is>
      </x:c>
      <x:c r="D238" s="67" t="inlineStr">
        <x:is>
          <x:t xml:space="preserve">Да</x:t>
        </x:is>
      </x:c>
      <x:c r="E238" s="67" t="inlineStr">
        <x:is>
          <x:t xml:space="preserve">https://belarushockey.com/rb/news/2025/09/06/zhlobinskij-metallurg-predstavil-roster-komandy/</x:t>
        </x:is>
      </x:c>
    </x:row>
    <x:row r="239">
      <x:c r="A239" s="67" t="inlineStr">
        <x:is>
          <x:t xml:space="preserve">Владимир Кораблев</x:t>
        </x:is>
      </x:c>
      <x:c r="B239" s="67" t="inlineStr">
        <x:is>
          <x:t xml:space="preserve">Металлург</x:t>
        </x:is>
      </x:c>
      <x:c r="C239" s="67" t="inlineStr">
        <x:is>
          <x:t xml:space="preserve">Нападающий</x:t>
        </x:is>
      </x:c>
      <x:c r="D239" s="67" t="inlineStr">
        <x:is>
          <x:t xml:space="preserve">Да</x:t>
        </x:is>
      </x:c>
      <x:c r="E239" s="67" t="inlineStr">
        <x:is>
          <x:t xml:space="preserve">https://belarushockey.com/rb/news/2025/09/06/zhlobinskij-metallurg-predstavil-roster-komandy/</x:t>
        </x:is>
      </x:c>
    </x:row>
    <x:row r="240">
      <x:c r="A240" s="67" t="inlineStr">
        <x:is>
          <x:t xml:space="preserve">Дмитрий Тукач</x:t>
        </x:is>
      </x:c>
      <x:c r="B240" s="67" t="inlineStr">
        <x:is>
          <x:t xml:space="preserve">Металлург</x:t>
        </x:is>
      </x:c>
      <x:c r="C240" s="67" t="inlineStr">
        <x:is>
          <x:t xml:space="preserve">Нападающий</x:t>
        </x:is>
      </x:c>
      <x:c r="D240" s="67" t="inlineStr">
        <x:is>
          <x:t xml:space="preserve">Да</x:t>
        </x:is>
      </x:c>
      <x:c r="E240" s="67" t="inlineStr">
        <x:is>
          <x:t xml:space="preserve">https://belarushockey.com/rb/news/2025/09/06/zhlobinskij-metallurg-predstavil-roster-komandy/</x:t>
        </x:is>
      </x:c>
    </x:row>
    <x:row r="241">
      <x:c r="A241" s="67" t="inlineStr">
        <x:is>
          <x:t xml:space="preserve">Иван Мурашов</x:t>
        </x:is>
      </x:c>
      <x:c r="B241" s="67" t="inlineStr">
        <x:is>
          <x:t xml:space="preserve">Металлург</x:t>
        </x:is>
      </x:c>
      <x:c r="C241" s="67" t="inlineStr">
        <x:is>
          <x:t xml:space="preserve">Нападающий</x:t>
        </x:is>
      </x:c>
      <x:c r="D241" s="67" t="inlineStr">
        <x:is>
          <x:t xml:space="preserve">Да</x:t>
        </x:is>
      </x:c>
      <x:c r="E241" s="67" t="inlineStr">
        <x:is>
          <x:t xml:space="preserve">https://belarushockey.com/rb/news/2025/09/06/zhlobinskij-metallurg-predstavil-roster-komandy/</x:t>
        </x:is>
      </x:c>
    </x:row>
    <x:row r="242">
      <x:c r="A242" s="67" t="inlineStr">
        <x:is>
          <x:t xml:space="preserve">Игорь Козячий</x:t>
        </x:is>
      </x:c>
      <x:c r="B242" s="67" t="inlineStr">
        <x:is>
          <x:t xml:space="preserve">Металлург</x:t>
        </x:is>
      </x:c>
      <x:c r="C242" s="67" t="inlineStr">
        <x:is>
          <x:t xml:space="preserve">Нападающий</x:t>
        </x:is>
      </x:c>
      <x:c r="D242" s="67" t="inlineStr">
        <x:is>
          <x:t xml:space="preserve">Да</x:t>
        </x:is>
      </x:c>
      <x:c r="E242" s="67" t="inlineStr">
        <x:is>
          <x:t xml:space="preserve">https://belarushockey.com/rb/news/2025/09/06/zhlobinskij-metallurg-predstavil-roster-komandy/</x:t>
        </x:is>
      </x:c>
    </x:row>
    <x:row r="243">
      <x:c r="A243" s="67" t="inlineStr">
        <x:is>
          <x:t xml:space="preserve">Илья Иванов</x:t>
        </x:is>
      </x:c>
      <x:c r="B243" s="67" t="inlineStr">
        <x:is>
          <x:t xml:space="preserve">Металлург</x:t>
        </x:is>
      </x:c>
      <x:c r="C243" s="67" t="inlineStr">
        <x:is>
          <x:t xml:space="preserve">Нападающий</x:t>
        </x:is>
      </x:c>
      <x:c r="D243" s="67" t="inlineStr">
        <x:is>
          <x:t xml:space="preserve">Да</x:t>
        </x:is>
      </x:c>
      <x:c r="E243" s="67" t="inlineStr">
        <x:is>
          <x:t xml:space="preserve">https://belarushockey.com/rb/news/2025/09/06/zhlobinskij-metallurg-predstavil-roster-komandy/</x:t>
        </x:is>
      </x:c>
    </x:row>
    <x:row r="244">
      <x:c r="A244" s="67" t="inlineStr">
        <x:is>
          <x:t xml:space="preserve">Илья Спат</x:t>
        </x:is>
      </x:c>
      <x:c r="B244" s="67" t="inlineStr">
        <x:is>
          <x:t xml:space="preserve">Металлург</x:t>
        </x:is>
      </x:c>
      <x:c r="C244" s="67" t="inlineStr">
        <x:is>
          <x:t xml:space="preserve">Нападающий</x:t>
        </x:is>
      </x:c>
      <x:c r="D244" s="67" t="inlineStr">
        <x:is>
          <x:t xml:space="preserve">Да</x:t>
        </x:is>
      </x:c>
      <x:c r="E244" s="67" t="inlineStr">
        <x:is>
          <x:t xml:space="preserve">https://belarushockey.com/rb/news/2025/09/06/zhlobinskij-metallurg-predstavil-roster-komandy/</x:t>
        </x:is>
      </x:c>
    </x:row>
    <x:row r="245">
      <x:c r="A245" s="67" t="inlineStr">
        <x:is>
          <x:t xml:space="preserve">Илья Шуринов</x:t>
        </x:is>
      </x:c>
      <x:c r="B245" s="67" t="inlineStr">
        <x:is>
          <x:t xml:space="preserve">Металлург</x:t>
        </x:is>
      </x:c>
      <x:c r="C245" s="67" t="inlineStr">
        <x:is>
          <x:t xml:space="preserve">Нападающий</x:t>
        </x:is>
      </x:c>
      <x:c r="D245" s="67" t="inlineStr">
        <x:is>
          <x:t xml:space="preserve">Да</x:t>
        </x:is>
      </x:c>
      <x:c r="E245" s="67" t="inlineStr">
        <x:is>
          <x:t xml:space="preserve">https://belarushockey.com/rb/news/2025/09/06/zhlobinskij-metallurg-predstavil-roster-komandy/</x:t>
        </x:is>
      </x:c>
    </x:row>
    <x:row r="246">
      <x:c r="A246" s="67" t="inlineStr">
        <x:is>
          <x:t xml:space="preserve">Максим Усков</x:t>
        </x:is>
      </x:c>
      <x:c r="B246" s="67" t="inlineStr">
        <x:is>
          <x:t xml:space="preserve">Металлург</x:t>
        </x:is>
      </x:c>
      <x:c r="C246" s="67" t="inlineStr">
        <x:is>
          <x:t xml:space="preserve">Нападающий</x:t>
        </x:is>
      </x:c>
      <x:c r="D246" s="67" t="inlineStr">
        <x:is>
          <x:t xml:space="preserve">Да</x:t>
        </x:is>
      </x:c>
      <x:c r="E246" s="67" t="inlineStr">
        <x:is>
          <x:t xml:space="preserve">https://belarushockey.com/rb/news/2025/09/06/zhlobinskij-metallurg-predstavil-roster-komandy/</x:t>
        </x:is>
      </x:c>
    </x:row>
    <x:row r="247">
      <x:c r="A247" s="67" t="inlineStr">
        <x:is>
          <x:t xml:space="preserve">Михаил Стефанович</x:t>
        </x:is>
      </x:c>
      <x:c r="B247" s="67" t="inlineStr">
        <x:is>
          <x:t xml:space="preserve">Металлург</x:t>
        </x:is>
      </x:c>
      <x:c r="C247" s="67" t="inlineStr">
        <x:is>
          <x:t xml:space="preserve">Нападающий</x:t>
        </x:is>
      </x:c>
      <x:c r="D247" s="67" t="inlineStr">
        <x:is>
          <x:t xml:space="preserve">Да</x:t>
        </x:is>
      </x:c>
      <x:c r="E247" s="67" t="inlineStr">
        <x:is>
          <x:t xml:space="preserve">https://belarushockey.com/rb/news/2025/09/06/zhlobinskij-metallurg-predstavil-roster-komandy/</x:t>
        </x:is>
      </x:c>
    </x:row>
    <x:row r="248">
      <x:c r="A248" s="67" t="inlineStr">
        <x:is>
          <x:t xml:space="preserve">Никита Бледнов</x:t>
        </x:is>
      </x:c>
      <x:c r="B248" s="67" t="inlineStr">
        <x:is>
          <x:t xml:space="preserve">Металлург</x:t>
        </x:is>
      </x:c>
      <x:c r="C248" s="67" t="inlineStr">
        <x:is>
          <x:t xml:space="preserve">Нападающий</x:t>
        </x:is>
      </x:c>
      <x:c r="D248" s="67" t="inlineStr">
        <x:is>
          <x:t xml:space="preserve">Да</x:t>
        </x:is>
      </x:c>
      <x:c r="E248" s="67" t="inlineStr">
        <x:is>
          <x:t xml:space="preserve">https://belarushockey.com/rb/news/2025/09/06/zhlobinskij-metallurg-predstavil-roster-komandy/</x:t>
        </x:is>
      </x:c>
    </x:row>
    <x:row r="249">
      <x:c r="A249" s="67" t="inlineStr">
        <x:is>
          <x:t xml:space="preserve">Ростислав Бодиловский</x:t>
        </x:is>
      </x:c>
      <x:c r="B249" s="67" t="inlineStr">
        <x:is>
          <x:t xml:space="preserve">Металлург</x:t>
        </x:is>
      </x:c>
      <x:c r="C249" s="67" t="inlineStr">
        <x:is>
          <x:t xml:space="preserve">Нападающий</x:t>
        </x:is>
      </x:c>
      <x:c r="D249" s="67" t="inlineStr">
        <x:is>
          <x:t xml:space="preserve">Да</x:t>
        </x:is>
      </x:c>
      <x:c r="E249" s="67" t="inlineStr">
        <x:is>
          <x:t xml:space="preserve">https://belarushockey.com/rb/news/2025/09/06/zhlobinskij-metallurg-predstavil-roster-komandy/</x:t>
        </x:is>
      </x:c>
    </x:row>
    <x:row r="250">
      <x:c r="A250" s="67" t="inlineStr">
        <x:is>
          <x:t xml:space="preserve">Сергей Бейзак</x:t>
        </x:is>
      </x:c>
      <x:c r="B250" s="67" t="inlineStr">
        <x:is>
          <x:t xml:space="preserve">Металлург</x:t>
        </x:is>
      </x:c>
      <x:c r="C250" s="67" t="inlineStr">
        <x:is>
          <x:t xml:space="preserve">Нападающий</x:t>
        </x:is>
      </x:c>
      <x:c r="D250" s="67" t="inlineStr">
        <x:is>
          <x:t xml:space="preserve">Да</x:t>
        </x:is>
      </x:c>
      <x:c r="E250" s="67" t="inlineStr">
        <x:is>
          <x:t xml:space="preserve">https://belarushockey.com/rb/news/2025/09/06/zhlobinskij-metallurg-predstavil-roster-komandy/</x:t>
        </x:is>
      </x:c>
    </x:row>
    <x:row r="251">
      <x:c r="A251" s="67" t="inlineStr">
        <x:is>
          <x:t xml:space="preserve">Тимофей Крейн</x:t>
        </x:is>
      </x:c>
      <x:c r="B251" s="67" t="inlineStr">
        <x:is>
          <x:t xml:space="preserve">Металлург</x:t>
        </x:is>
      </x:c>
      <x:c r="C251" s="67" t="inlineStr">
        <x:is>
          <x:t xml:space="preserve">Нападающий</x:t>
        </x:is>
      </x:c>
      <x:c r="D251" s="67" t="inlineStr">
        <x:is>
          <x:t xml:space="preserve">Да</x:t>
        </x:is>
      </x:c>
      <x:c r="E251" s="67" t="inlineStr">
        <x:is>
          <x:t xml:space="preserve">https://belarushockey.com/rb/news/2025/09/06/zhlobinskij-metallurg-predstavil-roster-komandy/</x:t>
        </x:is>
      </x:c>
    </x:row>
    <x:row r="252">
      <x:c r="A252" s="67" t="inlineStr">
        <x:is>
          <x:t xml:space="preserve">Тимур Литвинов</x:t>
        </x:is>
      </x:c>
      <x:c r="B252" s="67" t="inlineStr">
        <x:is>
          <x:t xml:space="preserve">Металлург</x:t>
        </x:is>
      </x:c>
      <x:c r="C252" s="67" t="inlineStr">
        <x:is>
          <x:t xml:space="preserve">Нападающий</x:t>
        </x:is>
      </x:c>
      <x:c r="D252" s="67" t="inlineStr">
        <x:is>
          <x:t xml:space="preserve">Да</x:t>
        </x:is>
      </x:c>
      <x:c r="E252" s="67" t="inlineStr">
        <x:is>
          <x:t xml:space="preserve">https://belarushockey.com/rb/news/2025/09/06/zhlobinskij-metallurg-predstavil-roster-komandy/</x:t>
        </x:is>
      </x:c>
    </x:row>
    <x:row r="253">
      <x:c r="A253" s="67" t="inlineStr">
        <x:is>
          <x:t xml:space="preserve">Юрий Веремеенко</x:t>
        </x:is>
      </x:c>
      <x:c r="B253" s="67" t="inlineStr">
        <x:is>
          <x:t xml:space="preserve">Металлург</x:t>
        </x:is>
      </x:c>
      <x:c r="C253" s="67" t="inlineStr">
        <x:is>
          <x:t xml:space="preserve">Нападающий</x:t>
        </x:is>
      </x:c>
      <x:c r="D253" s="67" t="inlineStr">
        <x:is>
          <x:t xml:space="preserve">Да</x:t>
        </x:is>
      </x:c>
      <x:c r="E253" s="67" t="inlineStr">
        <x:is>
          <x:t xml:space="preserve">https://belarushockey.com/rb/news/2025/09/06/zhlobinskij-metallurg-predstavil-roster-komandy/</x:t>
        </x:is>
      </x:c>
    </x:row>
    <x:row r="254">
      <x:c r="A254" s="67" t="inlineStr">
        <x:is>
          <x:t xml:space="preserve">Артур Малков</x:t>
        </x:is>
      </x:c>
      <x:c r="B254" s="67" t="inlineStr">
        <x:is>
          <x:t xml:space="preserve">Могилев</x:t>
        </x:is>
      </x:c>
      <x:c r="C254" s="67" t="inlineStr">
        <x:is>
          <x:t xml:space="preserve">Вратарь</x:t>
        </x:is>
      </x:c>
      <x:c r="D254" s="67" t="inlineStr">
        <x:is>
          <x:t xml:space="preserve">Да</x:t>
        </x:is>
      </x:c>
      <x:c r="E254" s="67" t="inlineStr">
        <x:is>
          <x:t xml:space="preserve">https://www.sports.ru/hockey/club/mogilev/team/</x:t>
        </x:is>
      </x:c>
    </x:row>
    <x:row r="255">
      <x:c r="A255" s="67" t="inlineStr">
        <x:is>
          <x:t xml:space="preserve">Владислав Карачун</x:t>
        </x:is>
      </x:c>
      <x:c r="B255" s="67" t="inlineStr">
        <x:is>
          <x:t xml:space="preserve">Могилев</x:t>
        </x:is>
      </x:c>
      <x:c r="C255" s="67" t="inlineStr">
        <x:is>
          <x:t xml:space="preserve">Вратарь</x:t>
        </x:is>
      </x:c>
      <x:c r="D255" s="67" t="inlineStr">
        <x:is>
          <x:t xml:space="preserve">Да</x:t>
        </x:is>
      </x:c>
      <x:c r="E255" s="67" t="inlineStr">
        <x:is>
          <x:t xml:space="preserve">https://www.sports.ru/hockey/club/mogilev/team/</x:t>
        </x:is>
      </x:c>
    </x:row>
    <x:row r="256">
      <x:c r="A256" s="67" t="inlineStr">
        <x:is>
          <x:t xml:space="preserve">Александр Алешков</x:t>
        </x:is>
      </x:c>
      <x:c r="B256" s="67" t="inlineStr">
        <x:is>
          <x:t xml:space="preserve">Могилев</x:t>
        </x:is>
      </x:c>
      <x:c r="C256" s="67" t="inlineStr">
        <x:is>
          <x:t xml:space="preserve">Защитник</x:t>
        </x:is>
      </x:c>
      <x:c r="D256" s="67" t="inlineStr">
        <x:is>
          <x:t xml:space="preserve">Да</x:t>
        </x:is>
      </x:c>
      <x:c r="E256" s="67" t="inlineStr">
        <x:is>
          <x:t xml:space="preserve">https://www.sports.ru/hockey/club/mogilev/team/</x:t>
        </x:is>
      </x:c>
    </x:row>
    <x:row r="257">
      <x:c r="A257" s="67" t="inlineStr">
        <x:is>
          <x:t xml:space="preserve">Андрей Клепча</x:t>
        </x:is>
      </x:c>
      <x:c r="B257" s="67" t="inlineStr">
        <x:is>
          <x:t xml:space="preserve">Могилев</x:t>
        </x:is>
      </x:c>
      <x:c r="C257" s="67" t="inlineStr">
        <x:is>
          <x:t xml:space="preserve">Защитник</x:t>
        </x:is>
      </x:c>
      <x:c r="D257" s="67" t="inlineStr">
        <x:is>
          <x:t xml:space="preserve">Да</x:t>
        </x:is>
      </x:c>
      <x:c r="E257" s="67" t="inlineStr">
        <x:is>
          <x:t xml:space="preserve">https://www.sports.ru/hockey/club/mogilev/team/</x:t>
        </x:is>
      </x:c>
    </x:row>
    <x:row r="258">
      <x:c r="A258" s="67" t="inlineStr">
        <x:is>
          <x:t xml:space="preserve">Андрей Шикуть</x:t>
        </x:is>
      </x:c>
      <x:c r="B258" s="67" t="inlineStr">
        <x:is>
          <x:t xml:space="preserve">Могилев</x:t>
        </x:is>
      </x:c>
      <x:c r="C258" s="67" t="inlineStr">
        <x:is>
          <x:t xml:space="preserve">Защитник</x:t>
        </x:is>
      </x:c>
      <x:c r="D258" s="67" t="inlineStr">
        <x:is>
          <x:t xml:space="preserve">Да</x:t>
        </x:is>
      </x:c>
      <x:c r="E258" s="67" t="inlineStr">
        <x:is>
          <x:t xml:space="preserve">https://www.sports.ru/hockey/club/mogilev/team/</x:t>
        </x:is>
      </x:c>
    </x:row>
    <x:row r="259">
      <x:c r="A259" s="67" t="inlineStr">
        <x:is>
          <x:t xml:space="preserve">Егор Долкарт</x:t>
        </x:is>
      </x:c>
      <x:c r="B259" s="67" t="inlineStr">
        <x:is>
          <x:t xml:space="preserve">Могилев</x:t>
        </x:is>
      </x:c>
      <x:c r="C259" s="67" t="inlineStr">
        <x:is>
          <x:t xml:space="preserve">Защитник</x:t>
        </x:is>
      </x:c>
      <x:c r="D259" s="67" t="inlineStr">
        <x:is>
          <x:t xml:space="preserve">Да</x:t>
        </x:is>
      </x:c>
      <x:c r="E259" s="67" t="inlineStr">
        <x:is>
          <x:t xml:space="preserve">https://www.sports.ru/hockey/club/mogilev/team/</x:t>
        </x:is>
      </x:c>
    </x:row>
    <x:row r="260">
      <x:c r="A260" s="67" t="inlineStr">
        <x:is>
          <x:t xml:space="preserve">Егор Калин</x:t>
        </x:is>
      </x:c>
      <x:c r="B260" s="67" t="inlineStr">
        <x:is>
          <x:t xml:space="preserve">Могилев</x:t>
        </x:is>
      </x:c>
      <x:c r="C260" s="67" t="inlineStr">
        <x:is>
          <x:t xml:space="preserve">Защитник</x:t>
        </x:is>
      </x:c>
      <x:c r="D260" s="67" t="inlineStr">
        <x:is>
          <x:t xml:space="preserve">Да</x:t>
        </x:is>
      </x:c>
      <x:c r="E260" s="67" t="inlineStr">
        <x:is>
          <x:t xml:space="preserve">https://www.sports.ru/hockey/club/mogilev/team/</x:t>
        </x:is>
      </x:c>
    </x:row>
    <x:row r="261">
      <x:c r="A261" s="67" t="inlineStr">
        <x:is>
          <x:t xml:space="preserve">Егор Огиенко</x:t>
        </x:is>
      </x:c>
      <x:c r="B261" s="67" t="inlineStr">
        <x:is>
          <x:t xml:space="preserve">Могилев</x:t>
        </x:is>
      </x:c>
      <x:c r="C261" s="67" t="inlineStr">
        <x:is>
          <x:t xml:space="preserve">Защитник</x:t>
        </x:is>
      </x:c>
      <x:c r="D261" s="67" t="inlineStr">
        <x:is>
          <x:t xml:space="preserve">Да</x:t>
        </x:is>
      </x:c>
      <x:c r="E261" s="67" t="inlineStr">
        <x:is>
          <x:t xml:space="preserve">https://www.sports.ru/hockey/club/mogilev/team/</x:t>
        </x:is>
      </x:c>
    </x:row>
    <x:row r="262">
      <x:c r="A262" s="67" t="inlineStr">
        <x:is>
          <x:t xml:space="preserve">Матвей Кнышев</x:t>
        </x:is>
      </x:c>
      <x:c r="B262" s="67" t="inlineStr">
        <x:is>
          <x:t xml:space="preserve">Могилев</x:t>
        </x:is>
      </x:c>
      <x:c r="C262" s="67" t="inlineStr">
        <x:is>
          <x:t xml:space="preserve">Защитник</x:t>
        </x:is>
      </x:c>
      <x:c r="D262" s="67" t="inlineStr">
        <x:is>
          <x:t xml:space="preserve">Да</x:t>
        </x:is>
      </x:c>
      <x:c r="E262" s="67" t="inlineStr">
        <x:is>
          <x:t xml:space="preserve">https://www.sports.ru/hockey/club/mogilev/team/</x:t>
        </x:is>
      </x:c>
    </x:row>
    <x:row r="263">
      <x:c r="A263" s="67" t="inlineStr">
        <x:is>
          <x:t xml:space="preserve">Михаил Прус</x:t>
        </x:is>
      </x:c>
      <x:c r="B263" s="67" t="inlineStr">
        <x:is>
          <x:t xml:space="preserve">Могилев</x:t>
        </x:is>
      </x:c>
      <x:c r="C263" s="67" t="inlineStr">
        <x:is>
          <x:t xml:space="preserve">Защитник</x:t>
        </x:is>
      </x:c>
      <x:c r="D263" s="67" t="inlineStr">
        <x:is>
          <x:t xml:space="preserve">Да</x:t>
        </x:is>
      </x:c>
      <x:c r="E263" s="67" t="inlineStr">
        <x:is>
          <x:t xml:space="preserve">https://www.sports.ru/hockey/club/mogilev/team/</x:t>
        </x:is>
      </x:c>
    </x:row>
    <x:row r="264">
      <x:c r="A264" s="67" t="inlineStr">
        <x:is>
          <x:t xml:space="preserve">Никита Тарлецкий</x:t>
        </x:is>
      </x:c>
      <x:c r="B264" s="67" t="inlineStr">
        <x:is>
          <x:t xml:space="preserve">Могилев</x:t>
        </x:is>
      </x:c>
      <x:c r="C264" s="67" t="inlineStr">
        <x:is>
          <x:t xml:space="preserve">Защитник</x:t>
        </x:is>
      </x:c>
      <x:c r="D264" s="67" t="inlineStr">
        <x:is>
          <x:t xml:space="preserve">Да</x:t>
        </x:is>
      </x:c>
      <x:c r="E264" s="67" t="inlineStr">
        <x:is>
          <x:t xml:space="preserve">https://www.sports.ru/hockey/club/mogilev/team/</x:t>
        </x:is>
      </x:c>
    </x:row>
    <x:row r="265">
      <x:c r="A265" s="67" t="inlineStr">
        <x:is>
          <x:t xml:space="preserve">Олег Качесов</x:t>
        </x:is>
      </x:c>
      <x:c r="B265" s="67" t="inlineStr">
        <x:is>
          <x:t xml:space="preserve">Могилев</x:t>
        </x:is>
      </x:c>
      <x:c r="C265" s="67" t="inlineStr">
        <x:is>
          <x:t xml:space="preserve">Защитник</x:t>
        </x:is>
      </x:c>
      <x:c r="D265" s="67" t="inlineStr">
        <x:is>
          <x:t xml:space="preserve">Да</x:t>
        </x:is>
      </x:c>
      <x:c r="E265" s="67" t="inlineStr">
        <x:is>
          <x:t xml:space="preserve">https://www.sports.ru/hockey/club/mogilev/team/</x:t>
        </x:is>
      </x:c>
    </x:row>
    <x:row r="266">
      <x:c r="A266" s="67" t="inlineStr">
        <x:is>
          <x:t xml:space="preserve">Олег Курилов</x:t>
        </x:is>
      </x:c>
      <x:c r="B266" s="67" t="inlineStr">
        <x:is>
          <x:t xml:space="preserve">Могилев</x:t>
        </x:is>
      </x:c>
      <x:c r="C266" s="67" t="inlineStr">
        <x:is>
          <x:t xml:space="preserve">Защитник</x:t>
        </x:is>
      </x:c>
      <x:c r="D266" s="67" t="inlineStr">
        <x:is>
          <x:t xml:space="preserve">Да</x:t>
        </x:is>
      </x:c>
      <x:c r="E266" s="67" t="inlineStr">
        <x:is>
          <x:t xml:space="preserve">https://www.sports.ru/hockey/club/mogilev/team/</x:t>
        </x:is>
      </x:c>
    </x:row>
    <x:row r="267">
      <x:c r="A267" s="67" t="inlineStr">
        <x:is>
          <x:t xml:space="preserve">Павел Голубич</x:t>
        </x:is>
      </x:c>
      <x:c r="B267" s="67" t="inlineStr">
        <x:is>
          <x:t xml:space="preserve">Могилев</x:t>
        </x:is>
      </x:c>
      <x:c r="C267" s="67" t="inlineStr">
        <x:is>
          <x:t xml:space="preserve">Защитник</x:t>
        </x:is>
      </x:c>
      <x:c r="D267" s="67" t="inlineStr">
        <x:is>
          <x:t xml:space="preserve">Да</x:t>
        </x:is>
      </x:c>
      <x:c r="E267" s="67" t="inlineStr">
        <x:is>
          <x:t xml:space="preserve">https://www.sports.ru/hockey/club/mogilev/team/</x:t>
        </x:is>
      </x:c>
    </x:row>
    <x:row r="268">
      <x:c r="A268" s="67" t="inlineStr">
        <x:is>
          <x:t xml:space="preserve">Юрий Жуковский</x:t>
        </x:is>
      </x:c>
      <x:c r="B268" s="67" t="inlineStr">
        <x:is>
          <x:t xml:space="preserve">Могилев</x:t>
        </x:is>
      </x:c>
      <x:c r="C268" s="67" t="inlineStr">
        <x:is>
          <x:t xml:space="preserve">Защитник</x:t>
        </x:is>
      </x:c>
      <x:c r="D268" s="67" t="inlineStr">
        <x:is>
          <x:t xml:space="preserve">Да</x:t>
        </x:is>
      </x:c>
      <x:c r="E268" s="67" t="inlineStr">
        <x:is>
          <x:t xml:space="preserve">https://www.sports.ru/hockey/club/mogilev/team/</x:t>
        </x:is>
      </x:c>
    </x:row>
    <x:row r="269">
      <x:c r="A269" s="67" t="inlineStr">
        <x:is>
          <x:t xml:space="preserve">Александр Козинов</x:t>
        </x:is>
      </x:c>
      <x:c r="B269" s="67" t="inlineStr">
        <x:is>
          <x:t xml:space="preserve">Могилев</x:t>
        </x:is>
      </x:c>
      <x:c r="C269" s="67" t="inlineStr">
        <x:is>
          <x:t xml:space="preserve">Нападающий</x:t>
        </x:is>
      </x:c>
      <x:c r="D269" s="67" t="inlineStr">
        <x:is>
          <x:t xml:space="preserve">Да</x:t>
        </x:is>
      </x:c>
      <x:c r="E269" s="67" t="inlineStr">
        <x:is>
          <x:t xml:space="preserve">https://www.sports.ru/hockey/club/mogilev/team/</x:t>
        </x:is>
      </x:c>
    </x:row>
    <x:row r="270">
      <x:c r="A270" s="67" t="inlineStr">
        <x:is>
          <x:t xml:space="preserve">Александр Попков</x:t>
        </x:is>
      </x:c>
      <x:c r="B270" s="67" t="inlineStr">
        <x:is>
          <x:t xml:space="preserve">Могилев</x:t>
        </x:is>
      </x:c>
      <x:c r="C270" s="67" t="inlineStr">
        <x:is>
          <x:t xml:space="preserve">Нападающий</x:t>
        </x:is>
      </x:c>
      <x:c r="D270" s="67" t="inlineStr">
        <x:is>
          <x:t xml:space="preserve">Да</x:t>
        </x:is>
      </x:c>
      <x:c r="E270" s="67" t="inlineStr">
        <x:is>
          <x:t xml:space="preserve">https://www.sports.ru/hockey/club/mogilev/team/</x:t>
        </x:is>
      </x:c>
    </x:row>
    <x:row r="271">
      <x:c r="A271" s="67" t="inlineStr">
        <x:is>
          <x:t xml:space="preserve">Арсений Малюченко</x:t>
        </x:is>
      </x:c>
      <x:c r="B271" s="67" t="inlineStr">
        <x:is>
          <x:t xml:space="preserve">Могилев</x:t>
        </x:is>
      </x:c>
      <x:c r="C271" s="67" t="inlineStr">
        <x:is>
          <x:t xml:space="preserve">Нападающий</x:t>
        </x:is>
      </x:c>
      <x:c r="D271" s="67" t="inlineStr">
        <x:is>
          <x:t xml:space="preserve">Да</x:t>
        </x:is>
      </x:c>
      <x:c r="E271" s="67" t="inlineStr">
        <x:is>
          <x:t xml:space="preserve">https://www.sports.ru/hockey/club/mogilev/team/</x:t>
        </x:is>
      </x:c>
    </x:row>
    <x:row r="272">
      <x:c r="A272" s="67" t="inlineStr">
        <x:is>
          <x:t xml:space="preserve">Артем Васько</x:t>
        </x:is>
      </x:c>
      <x:c r="B272" s="67" t="inlineStr">
        <x:is>
          <x:t xml:space="preserve">Могилев</x:t>
        </x:is>
      </x:c>
      <x:c r="C272" s="67" t="inlineStr">
        <x:is>
          <x:t xml:space="preserve">Нападающий</x:t>
        </x:is>
      </x:c>
      <x:c r="D272" s="67" t="inlineStr">
        <x:is>
          <x:t xml:space="preserve">Да</x:t>
        </x:is>
      </x:c>
      <x:c r="E272" s="67" t="inlineStr">
        <x:is>
          <x:t xml:space="preserve">https://www.sports.ru/hockey/club/mogilev/team/</x:t>
        </x:is>
      </x:c>
    </x:row>
    <x:row r="273">
      <x:c r="A273" s="67" t="inlineStr">
        <x:is>
          <x:t xml:space="preserve">Артем Осипов</x:t>
        </x:is>
      </x:c>
      <x:c r="B273" s="67" t="inlineStr">
        <x:is>
          <x:t xml:space="preserve">Могилев</x:t>
        </x:is>
      </x:c>
      <x:c r="C273" s="67" t="inlineStr">
        <x:is>
          <x:t xml:space="preserve">Нападающий</x:t>
        </x:is>
      </x:c>
      <x:c r="D273" s="67" t="inlineStr">
        <x:is>
          <x:t xml:space="preserve">Да</x:t>
        </x:is>
      </x:c>
      <x:c r="E273" s="67" t="inlineStr">
        <x:is>
          <x:t xml:space="preserve">https://www.sports.ru/hockey/club/mogilev/team/</x:t>
        </x:is>
      </x:c>
    </x:row>
    <x:row r="274">
      <x:c r="A274" s="67" t="inlineStr">
        <x:is>
          <x:t xml:space="preserve">Артем Шапиро</x:t>
        </x:is>
      </x:c>
      <x:c r="B274" s="67" t="inlineStr">
        <x:is>
          <x:t xml:space="preserve">Могилев</x:t>
        </x:is>
      </x:c>
      <x:c r="C274" s="67" t="inlineStr">
        <x:is>
          <x:t xml:space="preserve">Нападающий</x:t>
        </x:is>
      </x:c>
      <x:c r="D274" s="67" t="inlineStr">
        <x:is>
          <x:t xml:space="preserve">Да</x:t>
        </x:is>
      </x:c>
      <x:c r="E274" s="67" t="inlineStr">
        <x:is>
          <x:t xml:space="preserve">https://www.sports.ru/hockey/club/mogilev/team/</x:t>
        </x:is>
      </x:c>
    </x:row>
    <x:row r="275">
      <x:c r="A275" s="67" t="inlineStr">
        <x:is>
          <x:t xml:space="preserve">Виталий Вальков</x:t>
        </x:is>
      </x:c>
      <x:c r="B275" s="67" t="inlineStr">
        <x:is>
          <x:t xml:space="preserve">Могилев</x:t>
        </x:is>
      </x:c>
      <x:c r="C275" s="67" t="inlineStr">
        <x:is>
          <x:t xml:space="preserve">Нападающий</x:t>
        </x:is>
      </x:c>
      <x:c r="D275" s="67" t="inlineStr">
        <x:is>
          <x:t xml:space="preserve">Да</x:t>
        </x:is>
      </x:c>
      <x:c r="E275" s="67" t="inlineStr">
        <x:is>
          <x:t xml:space="preserve">https://www.sports.ru/hockey/club/mogilev/team/</x:t>
        </x:is>
      </x:c>
    </x:row>
    <x:row r="276">
      <x:c r="A276" s="67" t="inlineStr">
        <x:is>
          <x:t xml:space="preserve">Владислав Сайко</x:t>
        </x:is>
      </x:c>
      <x:c r="B276" s="67" t="inlineStr">
        <x:is>
          <x:t xml:space="preserve">Могилев</x:t>
        </x:is>
      </x:c>
      <x:c r="C276" s="67" t="inlineStr">
        <x:is>
          <x:t xml:space="preserve">Нападающий</x:t>
        </x:is>
      </x:c>
      <x:c r="D276" s="67" t="inlineStr">
        <x:is>
          <x:t xml:space="preserve">Да</x:t>
        </x:is>
      </x:c>
      <x:c r="E276" s="67" t="inlineStr">
        <x:is>
          <x:t xml:space="preserve">https://www.sports.ru/hockey/club/mogilev/team/</x:t>
        </x:is>
      </x:c>
    </x:row>
    <x:row r="277">
      <x:c r="A277" s="67" t="inlineStr">
        <x:is>
          <x:t xml:space="preserve">Владислав Шутов</x:t>
        </x:is>
      </x:c>
      <x:c r="B277" s="67" t="inlineStr">
        <x:is>
          <x:t xml:space="preserve">Могилев</x:t>
        </x:is>
      </x:c>
      <x:c r="C277" s="67" t="inlineStr">
        <x:is>
          <x:t xml:space="preserve">Нападающий</x:t>
        </x:is>
      </x:c>
      <x:c r="D277" s="67" t="inlineStr">
        <x:is>
          <x:t xml:space="preserve">Да</x:t>
        </x:is>
      </x:c>
      <x:c r="E277" s="67" t="inlineStr">
        <x:is>
          <x:t xml:space="preserve">https://www.sports.ru/hockey/club/mogilev/team/</x:t>
        </x:is>
      </x:c>
    </x:row>
    <x:row r="278">
      <x:c r="A278" s="67" t="inlineStr">
        <x:is>
          <x:t xml:space="preserve">Геннадий Малащенко</x:t>
        </x:is>
      </x:c>
      <x:c r="B278" s="67" t="inlineStr">
        <x:is>
          <x:t xml:space="preserve">Могилев</x:t>
        </x:is>
      </x:c>
      <x:c r="C278" s="67" t="inlineStr">
        <x:is>
          <x:t xml:space="preserve">Нападающий</x:t>
        </x:is>
      </x:c>
      <x:c r="D278" s="67" t="inlineStr">
        <x:is>
          <x:t xml:space="preserve">Да</x:t>
        </x:is>
      </x:c>
      <x:c r="E278" s="67" t="inlineStr">
        <x:is>
          <x:t xml:space="preserve">https://www.sports.ru/hockey/club/mogilev/team/</x:t>
        </x:is>
      </x:c>
    </x:row>
    <x:row r="279">
      <x:c r="A279" s="67" t="inlineStr">
        <x:is>
          <x:t xml:space="preserve">Глеб Былина</x:t>
        </x:is>
      </x:c>
      <x:c r="B279" s="67" t="inlineStr">
        <x:is>
          <x:t xml:space="preserve">Могилев</x:t>
        </x:is>
      </x:c>
      <x:c r="C279" s="67" t="inlineStr">
        <x:is>
          <x:t xml:space="preserve">Нападающий</x:t>
        </x:is>
      </x:c>
      <x:c r="D279" s="67" t="inlineStr">
        <x:is>
          <x:t xml:space="preserve">Да</x:t>
        </x:is>
      </x:c>
      <x:c r="E279" s="67" t="inlineStr">
        <x:is>
          <x:t xml:space="preserve">https://www.sports.ru/hockey/club/mogilev/team/</x:t>
        </x:is>
      </x:c>
    </x:row>
    <x:row r="280">
      <x:c r="A280" s="67" t="inlineStr">
        <x:is>
          <x:t xml:space="preserve">Дмитрий Корелов</x:t>
        </x:is>
      </x:c>
      <x:c r="B280" s="67" t="inlineStr">
        <x:is>
          <x:t xml:space="preserve">Могилев</x:t>
        </x:is>
      </x:c>
      <x:c r="C280" s="67" t="inlineStr">
        <x:is>
          <x:t xml:space="preserve">Нападающий</x:t>
        </x:is>
      </x:c>
      <x:c r="D280" s="67" t="inlineStr">
        <x:is>
          <x:t xml:space="preserve">Да</x:t>
        </x:is>
      </x:c>
      <x:c r="E280" s="67" t="inlineStr">
        <x:is>
          <x:t xml:space="preserve">https://www.sports.ru/hockey/club/mogilev/team/</x:t>
        </x:is>
      </x:c>
    </x:row>
    <x:row r="281">
      <x:c r="A281" s="67" t="inlineStr">
        <x:is>
          <x:t xml:space="preserve">Евгений Кунцевич</x:t>
        </x:is>
      </x:c>
      <x:c r="B281" s="67" t="inlineStr">
        <x:is>
          <x:t xml:space="preserve">Могилев</x:t>
        </x:is>
      </x:c>
      <x:c r="C281" s="67" t="inlineStr">
        <x:is>
          <x:t xml:space="preserve">Нападающий</x:t>
        </x:is>
      </x:c>
      <x:c r="D281" s="67" t="inlineStr">
        <x:is>
          <x:t xml:space="preserve">Да</x:t>
        </x:is>
      </x:c>
      <x:c r="E281" s="67" t="inlineStr">
        <x:is>
          <x:t xml:space="preserve">https://www.sports.ru/hockey/club/mogilev/team/</x:t>
        </x:is>
      </x:c>
    </x:row>
    <x:row r="282">
      <x:c r="A282" s="67" t="inlineStr">
        <x:is>
          <x:t xml:space="preserve">Иван Коташенко</x:t>
        </x:is>
      </x:c>
      <x:c r="B282" s="67" t="inlineStr">
        <x:is>
          <x:t xml:space="preserve">Могилев</x:t>
        </x:is>
      </x:c>
      <x:c r="C282" s="67" t="inlineStr">
        <x:is>
          <x:t xml:space="preserve">Нападающий</x:t>
        </x:is>
      </x:c>
      <x:c r="D282" s="67" t="inlineStr">
        <x:is>
          <x:t xml:space="preserve">Да</x:t>
        </x:is>
      </x:c>
      <x:c r="E282" s="67" t="inlineStr">
        <x:is>
          <x:t xml:space="preserve">https://www.sports.ru/hockey/club/mogilev/team/</x:t>
        </x:is>
      </x:c>
    </x:row>
    <x:row r="283">
      <x:c r="A283" s="67" t="inlineStr">
        <x:is>
          <x:t xml:space="preserve">Илья Шапиро</x:t>
        </x:is>
      </x:c>
      <x:c r="B283" s="67" t="inlineStr">
        <x:is>
          <x:t xml:space="preserve">Могилев</x:t>
        </x:is>
      </x:c>
      <x:c r="C283" s="67" t="inlineStr">
        <x:is>
          <x:t xml:space="preserve">Нападающий</x:t>
        </x:is>
      </x:c>
      <x:c r="D283" s="67" t="inlineStr">
        <x:is>
          <x:t xml:space="preserve">Да</x:t>
        </x:is>
      </x:c>
      <x:c r="E283" s="67" t="inlineStr">
        <x:is>
          <x:t xml:space="preserve">https://www.sports.ru/hockey/club/mogilev/team/</x:t>
        </x:is>
      </x:c>
    </x:row>
    <x:row r="284">
      <x:c r="A284" s="67" t="inlineStr">
        <x:is>
          <x:t xml:space="preserve">Максим Попков</x:t>
        </x:is>
      </x:c>
      <x:c r="B284" s="67" t="inlineStr">
        <x:is>
          <x:t xml:space="preserve">Могилев</x:t>
        </x:is>
      </x:c>
      <x:c r="C284" s="67" t="inlineStr">
        <x:is>
          <x:t xml:space="preserve">Нападающий</x:t>
        </x:is>
      </x:c>
      <x:c r="D284" s="67" t="inlineStr">
        <x:is>
          <x:t xml:space="preserve">Да</x:t>
        </x:is>
      </x:c>
      <x:c r="E284" s="67" t="inlineStr">
        <x:is>
          <x:t xml:space="preserve">https://www.sports.ru/hockey/club/mogilev/team/</x:t>
        </x:is>
      </x:c>
    </x:row>
    <x:row r="285">
      <x:c r="A285" s="67" t="inlineStr">
        <x:is>
          <x:t xml:space="preserve">Максим Чубуков</x:t>
        </x:is>
      </x:c>
      <x:c r="B285" s="67" t="inlineStr">
        <x:is>
          <x:t xml:space="preserve">Могилев</x:t>
        </x:is>
      </x:c>
      <x:c r="C285" s="67" t="inlineStr">
        <x:is>
          <x:t xml:space="preserve">Нападающий</x:t>
        </x:is>
      </x:c>
      <x:c r="D285" s="67" t="inlineStr">
        <x:is>
          <x:t xml:space="preserve">Да</x:t>
        </x:is>
      </x:c>
      <x:c r="E285" s="67" t="inlineStr">
        <x:is>
          <x:t xml:space="preserve">https://www.sports.ru/hockey/club/mogilev/team/</x:t>
        </x:is>
      </x:c>
    </x:row>
    <x:row r="286">
      <x:c r="A286" s="67" t="inlineStr">
        <x:is>
          <x:t xml:space="preserve">Матвей Винкевич</x:t>
        </x:is>
      </x:c>
      <x:c r="B286" s="67" t="inlineStr">
        <x:is>
          <x:t xml:space="preserve">Могилев</x:t>
        </x:is>
      </x:c>
      <x:c r="C286" s="67" t="inlineStr">
        <x:is>
          <x:t xml:space="preserve">Нападающий</x:t>
        </x:is>
      </x:c>
      <x:c r="D286" s="67" t="inlineStr">
        <x:is>
          <x:t xml:space="preserve">Да</x:t>
        </x:is>
      </x:c>
      <x:c r="E286" s="67" t="inlineStr">
        <x:is>
          <x:t xml:space="preserve">https://www.sports.ru/hockey/club/mogilev/team/</x:t>
        </x:is>
      </x:c>
    </x:row>
    <x:row r="287">
      <x:c r="A287" s="67" t="inlineStr">
        <x:is>
          <x:t xml:space="preserve">Николай Мирончик</x:t>
        </x:is>
      </x:c>
      <x:c r="B287" s="67" t="inlineStr">
        <x:is>
          <x:t xml:space="preserve">Могилев</x:t>
        </x:is>
      </x:c>
      <x:c r="C287" s="67" t="inlineStr">
        <x:is>
          <x:t xml:space="preserve">Нападающий</x:t>
        </x:is>
      </x:c>
      <x:c r="D287" s="67" t="inlineStr">
        <x:is>
          <x:t xml:space="preserve">Да</x:t>
        </x:is>
      </x:c>
      <x:c r="E287" s="67" t="inlineStr">
        <x:is>
          <x:t xml:space="preserve">https://www.sports.ru/hockey/club/mogilev/team/</x:t>
        </x:is>
      </x:c>
    </x:row>
    <x:row r="288">
      <x:c r="A288" s="67" t="inlineStr">
        <x:is>
          <x:t xml:space="preserve">Ярослав Билищук</x:t>
        </x:is>
      </x:c>
      <x:c r="B288" s="67" t="inlineStr">
        <x:is>
          <x:t xml:space="preserve">Могилев</x:t>
        </x:is>
      </x:c>
      <x:c r="C288" s="67" t="inlineStr">
        <x:is>
          <x:t xml:space="preserve">Нападающий</x:t>
        </x:is>
      </x:c>
      <x:c r="D288" s="67" t="inlineStr">
        <x:is>
          <x:t xml:space="preserve">Да</x:t>
        </x:is>
      </x:c>
      <x:c r="E288" s="67" t="inlineStr">
        <x:is>
          <x:t xml:space="preserve">https://www.sports.ru/hockey/club/mogilev/team/</x:t>
        </x:is>
      </x:c>
    </x:row>
    <x:row r="289">
      <x:c r="A289" s="67" t="inlineStr">
        <x:is>
          <x:t xml:space="preserve">Максим Городецкий</x:t>
        </x:is>
      </x:c>
      <x:c r="B289" s="67" t="inlineStr">
        <x:is>
          <x:t xml:space="preserve">Неман</x:t>
        </x:is>
      </x:c>
      <x:c r="C289" s="67" t="inlineStr">
        <x:is>
          <x:t xml:space="preserve">Вратарь</x:t>
        </x:is>
      </x:c>
      <x:c r="D289" s="67" t="inlineStr">
        <x:is>
          <x:t xml:space="preserve">Да</x:t>
        </x:is>
      </x:c>
      <x:c r="E289" s="67" t="inlineStr">
        <x:is>
          <x:t xml:space="preserve">https://www.sports.ru/hockey/club/neman-grodno/team/</x:t>
        </x:is>
      </x:c>
    </x:row>
    <x:row r="290">
      <x:c r="A290" s="67" t="inlineStr">
        <x:is>
          <x:t xml:space="preserve">Алексей Власкин</x:t>
        </x:is>
      </x:c>
      <x:c r="B290" s="67" t="inlineStr">
        <x:is>
          <x:t xml:space="preserve">Неман</x:t>
        </x:is>
      </x:c>
      <x:c r="C290" s="67" t="inlineStr">
        <x:is>
          <x:t xml:space="preserve">Защитник</x:t>
        </x:is>
      </x:c>
      <x:c r="D290" s="67" t="inlineStr">
        <x:is>
          <x:t xml:space="preserve">Да</x:t>
        </x:is>
      </x:c>
      <x:c r="E290" s="67" t="inlineStr">
        <x:is>
          <x:t xml:space="preserve">https://www.sports.ru/hockey/club/neman-grodno/team/</x:t>
        </x:is>
      </x:c>
    </x:row>
    <x:row r="291">
      <x:c r="A291" s="67" t="inlineStr">
        <x:is>
          <x:t xml:space="preserve">Андрей Первышин</x:t>
        </x:is>
      </x:c>
      <x:c r="B291" s="67" t="inlineStr">
        <x:is>
          <x:t xml:space="preserve">Неман</x:t>
        </x:is>
      </x:c>
      <x:c r="C291" s="67" t="inlineStr">
        <x:is>
          <x:t xml:space="preserve">Защитник</x:t>
        </x:is>
      </x:c>
      <x:c r="D291" s="67" t="inlineStr">
        <x:is>
          <x:t xml:space="preserve">Да</x:t>
        </x:is>
      </x:c>
      <x:c r="E291" s="67" t="inlineStr">
        <x:is>
          <x:t xml:space="preserve">https://www.sports.ru/hockey/club/neman-grodno/team/</x:t>
        </x:is>
      </x:c>
    </x:row>
    <x:row r="292">
      <x:c r="A292" s="67" t="inlineStr">
        <x:is>
          <x:t xml:space="preserve">Антон Гришанов</x:t>
        </x:is>
      </x:c>
      <x:c r="B292" s="67" t="inlineStr">
        <x:is>
          <x:t xml:space="preserve">Неман</x:t>
        </x:is>
      </x:c>
      <x:c r="C292" s="67" t="inlineStr">
        <x:is>
          <x:t xml:space="preserve">Защитник</x:t>
        </x:is>
      </x:c>
      <x:c r="D292" s="67" t="inlineStr">
        <x:is>
          <x:t xml:space="preserve">Да</x:t>
        </x:is>
      </x:c>
      <x:c r="E292" s="67" t="inlineStr">
        <x:is>
          <x:t xml:space="preserve">https://www.sports.ru/hockey/club/neman-grodno/team/</x:t>
        </x:is>
      </x:c>
    </x:row>
    <x:row r="293">
      <x:c r="A293" s="67" t="inlineStr">
        <x:is>
          <x:t xml:space="preserve">Владислав Павловский</x:t>
        </x:is>
      </x:c>
      <x:c r="B293" s="67" t="inlineStr">
        <x:is>
          <x:t xml:space="preserve">Неман</x:t>
        </x:is>
      </x:c>
      <x:c r="C293" s="67" t="inlineStr">
        <x:is>
          <x:t xml:space="preserve">Защитник</x:t>
        </x:is>
      </x:c>
      <x:c r="D293" s="67" t="inlineStr">
        <x:is>
          <x:t xml:space="preserve">Да</x:t>
        </x:is>
      </x:c>
      <x:c r="E293" s="67" t="inlineStr">
        <x:is>
          <x:t xml:space="preserve">https://www.sports.ru/hockey/club/neman-grodno/team/</x:t>
        </x:is>
      </x:c>
    </x:row>
    <x:row r="294">
      <x:c r="A294" s="67" t="inlineStr">
        <x:is>
          <x:t xml:space="preserve">Даниил Рогач</x:t>
        </x:is>
      </x:c>
      <x:c r="B294" s="67" t="inlineStr">
        <x:is>
          <x:t xml:space="preserve">Неман</x:t>
        </x:is>
      </x:c>
      <x:c r="C294" s="67" t="inlineStr">
        <x:is>
          <x:t xml:space="preserve">Защитник</x:t>
        </x:is>
      </x:c>
      <x:c r="D294" s="67" t="inlineStr">
        <x:is>
          <x:t xml:space="preserve">Да</x:t>
        </x:is>
      </x:c>
      <x:c r="E294" s="67" t="inlineStr">
        <x:is>
          <x:t xml:space="preserve">https://www.sports.ru/hockey/club/neman-grodno/team/</x:t>
        </x:is>
      </x:c>
    </x:row>
    <x:row r="295">
      <x:c r="A295" s="67" t="inlineStr">
        <x:is>
          <x:t xml:space="preserve">Дмитрий Костромитин</x:t>
        </x:is>
      </x:c>
      <x:c r="B295" s="67" t="inlineStr">
        <x:is>
          <x:t xml:space="preserve">Неман</x:t>
        </x:is>
      </x:c>
      <x:c r="C295" s="67" t="inlineStr">
        <x:is>
          <x:t xml:space="preserve">Защитник</x:t>
        </x:is>
      </x:c>
      <x:c r="D295" s="67" t="inlineStr">
        <x:is>
          <x:t xml:space="preserve">Да</x:t>
        </x:is>
      </x:c>
      <x:c r="E295" s="67" t="inlineStr">
        <x:is>
          <x:t xml:space="preserve">https://www.sports.ru/hockey/club/neman-grodno/team/</x:t>
        </x:is>
      </x:c>
    </x:row>
    <x:row r="296">
      <x:c r="A296" s="67" t="inlineStr">
        <x:is>
          <x:t xml:space="preserve">Егор Степанов</x:t>
        </x:is>
      </x:c>
      <x:c r="B296" s="67" t="inlineStr">
        <x:is>
          <x:t xml:space="preserve">Неман</x:t>
        </x:is>
      </x:c>
      <x:c r="C296" s="67" t="inlineStr">
        <x:is>
          <x:t xml:space="preserve">Защитник</x:t>
        </x:is>
      </x:c>
      <x:c r="D296" s="67" t="inlineStr">
        <x:is>
          <x:t xml:space="preserve">Да</x:t>
        </x:is>
      </x:c>
      <x:c r="E296" s="67" t="inlineStr">
        <x:is>
          <x:t xml:space="preserve">https://www.sports.ru/hockey/club/neman-grodno/team/</x:t>
        </x:is>
      </x:c>
    </x:row>
    <x:row r="297">
      <x:c r="A297" s="67" t="inlineStr">
        <x:is>
          <x:t xml:space="preserve">Максим Каменьков</x:t>
        </x:is>
      </x:c>
      <x:c r="B297" s="67" t="inlineStr">
        <x:is>
          <x:t xml:space="preserve">Неман</x:t>
        </x:is>
      </x:c>
      <x:c r="C297" s="67" t="inlineStr">
        <x:is>
          <x:t xml:space="preserve">Защитник</x:t>
        </x:is>
      </x:c>
      <x:c r="D297" s="67" t="inlineStr">
        <x:is>
          <x:t xml:space="preserve">Да</x:t>
        </x:is>
      </x:c>
      <x:c r="E297" s="67" t="inlineStr">
        <x:is>
          <x:t xml:space="preserve">https://www.sports.ru/hockey/club/neman-grodno/team/</x:t>
        </x:is>
      </x:c>
    </x:row>
    <x:row r="298">
      <x:c r="A298" s="67" t="inlineStr">
        <x:is>
          <x:t xml:space="preserve">Михаил Хоромандо</x:t>
        </x:is>
      </x:c>
      <x:c r="B298" s="67" t="inlineStr">
        <x:is>
          <x:t xml:space="preserve">Неман</x:t>
        </x:is>
      </x:c>
      <x:c r="C298" s="67" t="inlineStr">
        <x:is>
          <x:t xml:space="preserve">Защитник</x:t>
        </x:is>
      </x:c>
      <x:c r="D298" s="67" t="inlineStr">
        <x:is>
          <x:t xml:space="preserve">Да</x:t>
        </x:is>
      </x:c>
      <x:c r="E298" s="67" t="inlineStr">
        <x:is>
          <x:t xml:space="preserve">https://www.sports.ru/hockey/club/neman-grodno/team/</x:t>
        </x:is>
      </x:c>
    </x:row>
    <x:row r="299">
      <x:c r="A299" s="67" t="inlineStr">
        <x:is>
          <x:t xml:space="preserve">Никита Крыскин</x:t>
        </x:is>
      </x:c>
      <x:c r="B299" s="67" t="inlineStr">
        <x:is>
          <x:t xml:space="preserve">Неман</x:t>
        </x:is>
      </x:c>
      <x:c r="C299" s="67" t="inlineStr">
        <x:is>
          <x:t xml:space="preserve">Защитник</x:t>
        </x:is>
      </x:c>
      <x:c r="D299" s="67" t="inlineStr">
        <x:is>
          <x:t xml:space="preserve">Да</x:t>
        </x:is>
      </x:c>
      <x:c r="E299" s="67" t="inlineStr">
        <x:is>
          <x:t xml:space="preserve">https://www.sports.ru/hockey/club/neman-grodno/team/</x:t>
        </x:is>
      </x:c>
    </x:row>
    <x:row r="300">
      <x:c r="A300" s="67" t="inlineStr">
        <x:is>
          <x:t xml:space="preserve">Павел Вороно</x:t>
        </x:is>
      </x:c>
      <x:c r="B300" s="67" t="inlineStr">
        <x:is>
          <x:t xml:space="preserve">Неман</x:t>
        </x:is>
      </x:c>
      <x:c r="C300" s="67" t="inlineStr">
        <x:is>
          <x:t xml:space="preserve">Защитник</x:t>
        </x:is>
      </x:c>
      <x:c r="D300" s="67" t="inlineStr">
        <x:is>
          <x:t xml:space="preserve">Да</x:t>
        </x:is>
      </x:c>
      <x:c r="E300" s="67" t="inlineStr">
        <x:is>
          <x:t xml:space="preserve">https://www.sports.ru/hockey/club/neman-grodno/team/</x:t>
        </x:is>
      </x:c>
    </x:row>
    <x:row r="301">
      <x:c r="A301" s="67" t="inlineStr">
        <x:is>
          <x:t xml:space="preserve">Сергей Романович</x:t>
        </x:is>
      </x:c>
      <x:c r="B301" s="67" t="inlineStr">
        <x:is>
          <x:t xml:space="preserve">Неман</x:t>
        </x:is>
      </x:c>
      <x:c r="C301" s="67" t="inlineStr">
        <x:is>
          <x:t xml:space="preserve">Защитник</x:t>
        </x:is>
      </x:c>
      <x:c r="D301" s="67" t="inlineStr">
        <x:is>
          <x:t xml:space="preserve">Да</x:t>
        </x:is>
      </x:c>
      <x:c r="E301" s="67" t="inlineStr">
        <x:is>
          <x:t xml:space="preserve">https://www.sports.ru/hockey/club/neman-grodno/team/</x:t>
        </x:is>
      </x:c>
    </x:row>
    <x:row r="302">
      <x:c r="A302" s="67" t="inlineStr">
        <x:is>
          <x:t xml:space="preserve">Александр Малявко</x:t>
        </x:is>
      </x:c>
      <x:c r="B302" s="67" t="inlineStr">
        <x:is>
          <x:t xml:space="preserve">Неман</x:t>
        </x:is>
      </x:c>
      <x:c r="C302" s="67" t="inlineStr">
        <x:is>
          <x:t xml:space="preserve">Нападающий</x:t>
        </x:is>
      </x:c>
      <x:c r="D302" s="67" t="inlineStr">
        <x:is>
          <x:t xml:space="preserve">Да</x:t>
        </x:is>
      </x:c>
      <x:c r="E302" s="67" t="inlineStr">
        <x:is>
          <x:t xml:space="preserve">https://www.sports.ru/hockey/club/neman-grodno/team/</x:t>
        </x:is>
      </x:c>
    </x:row>
    <x:row r="303">
      <x:c r="A303" s="67" t="inlineStr">
        <x:is>
          <x:t xml:space="preserve">Александр Репьях</x:t>
        </x:is>
      </x:c>
      <x:c r="B303" s="67" t="inlineStr">
        <x:is>
          <x:t xml:space="preserve">Неман</x:t>
        </x:is>
      </x:c>
      <x:c r="C303" s="67" t="inlineStr">
        <x:is>
          <x:t xml:space="preserve">Нападающий</x:t>
        </x:is>
      </x:c>
      <x:c r="D303" s="67" t="inlineStr">
        <x:is>
          <x:t xml:space="preserve">Да</x:t>
        </x:is>
      </x:c>
      <x:c r="E303" s="67" t="inlineStr">
        <x:is>
          <x:t xml:space="preserve">https://www.sports.ru/hockey/club/neman-grodno/team/</x:t>
        </x:is>
      </x:c>
    </x:row>
    <x:row r="304">
      <x:c r="A304" s="67" t="inlineStr">
        <x:is>
          <x:t xml:space="preserve">Александр Чиглинцев</x:t>
        </x:is>
      </x:c>
      <x:c r="B304" s="67" t="inlineStr">
        <x:is>
          <x:t xml:space="preserve">Неман</x:t>
        </x:is>
      </x:c>
      <x:c r="C304" s="67" t="inlineStr">
        <x:is>
          <x:t xml:space="preserve">Нападающий</x:t>
        </x:is>
      </x:c>
      <x:c r="D304" s="67" t="inlineStr">
        <x:is>
          <x:t xml:space="preserve">Да</x:t>
        </x:is>
      </x:c>
      <x:c r="E304" s="67" t="inlineStr">
        <x:is>
          <x:t xml:space="preserve">https://www.sports.ru/hockey/club/neman-grodno/team/</x:t>
        </x:is>
      </x:c>
    </x:row>
    <x:row r="305">
      <x:c r="A305" s="67" t="inlineStr">
        <x:is>
          <x:t xml:space="preserve">Алексей Малиновский</x:t>
        </x:is>
      </x:c>
      <x:c r="B305" s="67" t="inlineStr">
        <x:is>
          <x:t xml:space="preserve">Неман</x:t>
        </x:is>
      </x:c>
      <x:c r="C305" s="67" t="inlineStr">
        <x:is>
          <x:t xml:space="preserve">Нападающий</x:t>
        </x:is>
      </x:c>
      <x:c r="D305" s="67" t="inlineStr">
        <x:is>
          <x:t xml:space="preserve">Да</x:t>
        </x:is>
      </x:c>
      <x:c r="E305" s="67" t="inlineStr">
        <x:is>
          <x:t xml:space="preserve">https://www.sports.ru/hockey/club/neman-grodno/team/</x:t>
        </x:is>
      </x:c>
    </x:row>
    <x:row r="306">
      <x:c r="A306" s="67" t="inlineStr">
        <x:is>
          <x:t xml:space="preserve">Артем Левша</x:t>
        </x:is>
      </x:c>
      <x:c r="B306" s="67" t="inlineStr">
        <x:is>
          <x:t xml:space="preserve">Неман</x:t>
        </x:is>
      </x:c>
      <x:c r="C306" s="67" t="inlineStr">
        <x:is>
          <x:t xml:space="preserve">Нападающий</x:t>
        </x:is>
      </x:c>
      <x:c r="D306" s="67" t="inlineStr">
        <x:is>
          <x:t xml:space="preserve">Да</x:t>
        </x:is>
      </x:c>
      <x:c r="E306" s="67" t="inlineStr">
        <x:is>
          <x:t xml:space="preserve">https://www.sports.ru/hockey/club/neman-grodno/team/</x:t>
        </x:is>
      </x:c>
    </x:row>
    <x:row r="307">
      <x:c r="A307" s="67" t="inlineStr">
        <x:is>
          <x:t xml:space="preserve">Артур Савинов</x:t>
        </x:is>
      </x:c>
      <x:c r="B307" s="67" t="inlineStr">
        <x:is>
          <x:t xml:space="preserve">Неман</x:t>
        </x:is>
      </x:c>
      <x:c r="C307" s="67" t="inlineStr">
        <x:is>
          <x:t xml:space="preserve">Нападающий</x:t>
        </x:is>
      </x:c>
      <x:c r="D307" s="67" t="inlineStr">
        <x:is>
          <x:t xml:space="preserve">Да</x:t>
        </x:is>
      </x:c>
      <x:c r="E307" s="67" t="inlineStr">
        <x:is>
          <x:t xml:space="preserve">https://www.sports.ru/hockey/club/neman-grodno/team/</x:t>
        </x:is>
      </x:c>
    </x:row>
    <x:row r="308">
      <x:c r="A308" s="67" t="inlineStr">
        <x:is>
          <x:t xml:space="preserve">Герман Поддубный</x:t>
        </x:is>
      </x:c>
      <x:c r="B308" s="67" t="inlineStr">
        <x:is>
          <x:t xml:space="preserve">Неман</x:t>
        </x:is>
      </x:c>
      <x:c r="C308" s="67" t="inlineStr">
        <x:is>
          <x:t xml:space="preserve">Нападающий</x:t>
        </x:is>
      </x:c>
      <x:c r="D308" s="67" t="inlineStr">
        <x:is>
          <x:t xml:space="preserve">Да</x:t>
        </x:is>
      </x:c>
      <x:c r="E308" s="67" t="inlineStr">
        <x:is>
          <x:t xml:space="preserve">https://www.sports.ru/hockey/club/neman-grodno/team/</x:t>
        </x:is>
      </x:c>
    </x:row>
    <x:row r="309">
      <x:c r="A309" s="67" t="inlineStr">
        <x:is>
          <x:t xml:space="preserve">Егор Стрелковский</x:t>
        </x:is>
      </x:c>
      <x:c r="B309" s="67" t="inlineStr">
        <x:is>
          <x:t xml:space="preserve">Неман</x:t>
        </x:is>
      </x:c>
      <x:c r="C309" s="67" t="inlineStr">
        <x:is>
          <x:t xml:space="preserve">Нападающий</x:t>
        </x:is>
      </x:c>
      <x:c r="D309" s="67" t="inlineStr">
        <x:is>
          <x:t xml:space="preserve">Да</x:t>
        </x:is>
      </x:c>
      <x:c r="E309" s="67" t="inlineStr">
        <x:is>
          <x:t xml:space="preserve">https://www.sports.ru/hockey/club/neman-grodno/team/</x:t>
        </x:is>
      </x:c>
    </x:row>
    <x:row r="310">
      <x:c r="A310" s="67" t="inlineStr">
        <x:is>
          <x:t xml:space="preserve">Игорь Варивончик</x:t>
        </x:is>
      </x:c>
      <x:c r="B310" s="67" t="inlineStr">
        <x:is>
          <x:t xml:space="preserve">Неман</x:t>
        </x:is>
      </x:c>
      <x:c r="C310" s="67" t="inlineStr">
        <x:is>
          <x:t xml:space="preserve">Нападающий</x:t>
        </x:is>
      </x:c>
      <x:c r="D310" s="67" t="inlineStr">
        <x:is>
          <x:t xml:space="preserve">Да</x:t>
        </x:is>
      </x:c>
      <x:c r="E310" s="67" t="inlineStr">
        <x:is>
          <x:t xml:space="preserve">https://www.sports.ru/hockey/club/neman-grodno/team/</x:t>
        </x:is>
      </x:c>
    </x:row>
    <x:row r="311">
      <x:c r="A311" s="67" t="inlineStr">
        <x:is>
          <x:t xml:space="preserve">Игорь Козячий</x:t>
        </x:is>
      </x:c>
      <x:c r="B311" s="67" t="inlineStr">
        <x:is>
          <x:t xml:space="preserve">Неман</x:t>
        </x:is>
      </x:c>
      <x:c r="C311" s="67" t="inlineStr">
        <x:is>
          <x:t xml:space="preserve">Нападающий</x:t>
        </x:is>
      </x:c>
      <x:c r="D311" s="67" t="inlineStr">
        <x:is>
          <x:t xml:space="preserve">Да</x:t>
        </x:is>
      </x:c>
      <x:c r="E311" s="67" t="inlineStr">
        <x:is>
          <x:t xml:space="preserve">https://www.sports.ru/hockey/club/neman-grodno/team/</x:t>
        </x:is>
      </x:c>
    </x:row>
    <x:row r="312">
      <x:c r="A312" s="67" t="inlineStr">
        <x:is>
          <x:t xml:space="preserve">Никита Бастрыкин</x:t>
        </x:is>
      </x:c>
      <x:c r="B312" s="67" t="inlineStr">
        <x:is>
          <x:t xml:space="preserve">Неман</x:t>
        </x:is>
      </x:c>
      <x:c r="C312" s="67" t="inlineStr">
        <x:is>
          <x:t xml:space="preserve">Нападающий</x:t>
        </x:is>
      </x:c>
      <x:c r="D312" s="67" t="inlineStr">
        <x:is>
          <x:t xml:space="preserve">Да</x:t>
        </x:is>
      </x:c>
      <x:c r="E312" s="67" t="inlineStr">
        <x:is>
          <x:t xml:space="preserve">https://www.sports.ru/hockey/club/neman-grodno/team/</x:t>
        </x:is>
      </x:c>
    </x:row>
    <x:row r="313">
      <x:c r="A313" s="67" t="inlineStr">
        <x:is>
          <x:t xml:space="preserve">Никита Ремезов</x:t>
        </x:is>
      </x:c>
      <x:c r="B313" s="67" t="inlineStr">
        <x:is>
          <x:t xml:space="preserve">Неман</x:t>
        </x:is>
      </x:c>
      <x:c r="C313" s="67" t="inlineStr">
        <x:is>
          <x:t xml:space="preserve">Нападающий</x:t>
        </x:is>
      </x:c>
      <x:c r="D313" s="67" t="inlineStr">
        <x:is>
          <x:t xml:space="preserve">Да</x:t>
        </x:is>
      </x:c>
      <x:c r="E313" s="67" t="inlineStr">
        <x:is>
          <x:t xml:space="preserve">https://www.sports.ru/hockey/club/neman-grodno/team/</x:t>
        </x:is>
      </x:c>
    </x:row>
    <x:row r="314">
      <x:c r="A314" s="67" t="inlineStr">
        <x:is>
          <x:t xml:space="preserve">Олег Островский</x:t>
        </x:is>
      </x:c>
      <x:c r="B314" s="67" t="inlineStr">
        <x:is>
          <x:t xml:space="preserve">Неман</x:t>
        </x:is>
      </x:c>
      <x:c r="C314" s="67" t="inlineStr">
        <x:is>
          <x:t xml:space="preserve">Нападающий</x:t>
        </x:is>
      </x:c>
      <x:c r="D314" s="67" t="inlineStr">
        <x:is>
          <x:t xml:space="preserve">Да</x:t>
        </x:is>
      </x:c>
      <x:c r="E314" s="67" t="inlineStr">
        <x:is>
          <x:t xml:space="preserve">https://www.sports.ru/hockey/club/neman-grodno/team/</x:t>
        </x:is>
      </x:c>
    </x:row>
    <x:row r="315">
      <x:c r="A315" s="67" t="inlineStr">
        <x:is>
          <x:t xml:space="preserve">Павел Ажгирей</x:t>
        </x:is>
      </x:c>
      <x:c r="B315" s="67" t="inlineStr">
        <x:is>
          <x:t xml:space="preserve">Неман</x:t>
        </x:is>
      </x:c>
      <x:c r="C315" s="67" t="inlineStr">
        <x:is>
          <x:t xml:space="preserve">Нападающий</x:t>
        </x:is>
      </x:c>
      <x:c r="D315" s="67" t="inlineStr">
        <x:is>
          <x:t xml:space="preserve">Да</x:t>
        </x:is>
      </x:c>
      <x:c r="E315" s="67" t="inlineStr">
        <x:is>
          <x:t xml:space="preserve">https://www.sports.ru/hockey/club/neman-grodno/team/</x:t>
        </x:is>
      </x:c>
    </x:row>
    <x:row r="316">
      <x:c r="A316" s="67" t="inlineStr">
        <x:is>
          <x:t xml:space="preserve">Павел Боярчук</x:t>
        </x:is>
      </x:c>
      <x:c r="B316" s="67" t="inlineStr">
        <x:is>
          <x:t xml:space="preserve">Неман</x:t>
        </x:is>
      </x:c>
      <x:c r="C316" s="67" t="inlineStr">
        <x:is>
          <x:t xml:space="preserve">Нападающий</x:t>
        </x:is>
      </x:c>
      <x:c r="D316" s="67" t="inlineStr">
        <x:is>
          <x:t xml:space="preserve">Да</x:t>
        </x:is>
      </x:c>
      <x:c r="E316" s="67" t="inlineStr">
        <x:is>
          <x:t xml:space="preserve">https://www.sports.ru/hockey/club/neman-grodno/team/</x:t>
        </x:is>
      </x:c>
    </x:row>
    <x:row r="317">
      <x:c r="A317" s="67" t="inlineStr">
        <x:is>
          <x:t xml:space="preserve">Сергей Малявко</x:t>
        </x:is>
      </x:c>
      <x:c r="B317" s="67" t="inlineStr">
        <x:is>
          <x:t xml:space="preserve">Неман</x:t>
        </x:is>
      </x:c>
      <x:c r="C317" s="67" t="inlineStr">
        <x:is>
          <x:t xml:space="preserve">Нападающий</x:t>
        </x:is>
      </x:c>
      <x:c r="D317" s="67" t="inlineStr">
        <x:is>
          <x:t xml:space="preserve">Да</x:t>
        </x:is>
      </x:c>
      <x:c r="E317" s="67" t="inlineStr">
        <x:is>
          <x:t xml:space="preserve">https://www.sports.ru/hockey/club/neman-grodno/team/</x:t>
        </x:is>
      </x:c>
    </x:row>
    <x:row r="318">
      <x:c r="A318" s="67" t="inlineStr">
        <x:is>
          <x:t xml:space="preserve">Владлен Кибо</x:t>
        </x:is>
      </x:c>
      <x:c r="B318" s="67" t="inlineStr">
        <x:is>
          <x:t xml:space="preserve">Славутич</x:t>
        </x:is>
      </x:c>
      <x:c r="C318" s="67" t="inlineStr">
        <x:is>
          <x:t xml:space="preserve">Вратарь</x:t>
        </x:is>
      </x:c>
      <x:c r="D318" s="67" t="inlineStr">
        <x:is>
          <x:t xml:space="preserve">Да</x:t>
        </x:is>
      </x:c>
      <x:c r="E318" s="67" t="inlineStr">
        <x:is>
          <x:t xml:space="preserve">https://r-hockey.ru/team/1950-Slavutich/roster/2025/24932</x:t>
        </x:is>
      </x:c>
    </x:row>
    <x:row r="319">
      <x:c r="A319" s="67" t="inlineStr">
        <x:is>
          <x:t xml:space="preserve">Михаил Исаев</x:t>
        </x:is>
      </x:c>
      <x:c r="B319" s="67" t="inlineStr">
        <x:is>
          <x:t xml:space="preserve">Славутич</x:t>
        </x:is>
      </x:c>
      <x:c r="C319" s="67" t="inlineStr">
        <x:is>
          <x:t xml:space="preserve">Вратарь</x:t>
        </x:is>
      </x:c>
      <x:c r="D319" s="67" t="inlineStr">
        <x:is>
          <x:t xml:space="preserve">Да</x:t>
        </x:is>
      </x:c>
      <x:c r="E319" s="67" t="inlineStr">
        <x:is>
          <x:t xml:space="preserve">https://r-hockey.ru/team/1950-Slavutich/roster/2025/24932</x:t>
        </x:is>
      </x:c>
    </x:row>
    <x:row r="320">
      <x:c r="A320" s="67" t="inlineStr">
        <x:is>
          <x:t xml:space="preserve">Никита Горбачев</x:t>
        </x:is>
      </x:c>
      <x:c r="B320" s="67" t="inlineStr">
        <x:is>
          <x:t xml:space="preserve">Славутич</x:t>
        </x:is>
      </x:c>
      <x:c r="C320" s="67" t="inlineStr">
        <x:is>
          <x:t xml:space="preserve">Вратарь</x:t>
        </x:is>
      </x:c>
      <x:c r="D320" s="67" t="inlineStr">
        <x:is>
          <x:t xml:space="preserve">Да</x:t>
        </x:is>
      </x:c>
      <x:c r="E320" s="67" t="inlineStr">
        <x:is>
          <x:t xml:space="preserve">https://r-hockey.ru/team/1950-Slavutich/roster/2025/24932</x:t>
        </x:is>
      </x:c>
    </x:row>
    <x:row r="321">
      <x:c r="A321" s="67" t="inlineStr">
        <x:is>
          <x:t xml:space="preserve">Александр Осин</x:t>
        </x:is>
      </x:c>
      <x:c r="B321" s="67" t="inlineStr">
        <x:is>
          <x:t xml:space="preserve">Славутич</x:t>
        </x:is>
      </x:c>
      <x:c r="C321" s="67" t="inlineStr">
        <x:is>
          <x:t xml:space="preserve">Защитник</x:t>
        </x:is>
      </x:c>
      <x:c r="D321" s="67" t="inlineStr">
        <x:is>
          <x:t xml:space="preserve">Да</x:t>
        </x:is>
      </x:c>
      <x:c r="E321" s="67" t="inlineStr">
        <x:is>
          <x:t xml:space="preserve">https://r-hockey.ru/team/1950-Slavutich/roster/2025/24932</x:t>
        </x:is>
      </x:c>
    </x:row>
    <x:row r="322">
      <x:c r="A322" s="67" t="inlineStr">
        <x:is>
          <x:t xml:space="preserve">Алексей Иванов</x:t>
        </x:is>
      </x:c>
      <x:c r="B322" s="67" t="inlineStr">
        <x:is>
          <x:t xml:space="preserve">Славутич</x:t>
        </x:is>
      </x:c>
      <x:c r="C322" s="67" t="inlineStr">
        <x:is>
          <x:t xml:space="preserve">Защитник</x:t>
        </x:is>
      </x:c>
      <x:c r="D322" s="67" t="inlineStr">
        <x:is>
          <x:t xml:space="preserve">Да</x:t>
        </x:is>
      </x:c>
      <x:c r="E322" s="67" t="inlineStr">
        <x:is>
          <x:t xml:space="preserve">https://r-hockey.ru/team/1950-Slavutich/roster/2025/24932</x:t>
        </x:is>
      </x:c>
    </x:row>
    <x:row r="323">
      <x:c r="A323" s="67" t="inlineStr">
        <x:is>
          <x:t xml:space="preserve">Герман Квон</x:t>
        </x:is>
      </x:c>
      <x:c r="B323" s="67" t="inlineStr">
        <x:is>
          <x:t xml:space="preserve">Славутич</x:t>
        </x:is>
      </x:c>
      <x:c r="C323" s="67" t="inlineStr">
        <x:is>
          <x:t xml:space="preserve">Защитник</x:t>
        </x:is>
      </x:c>
      <x:c r="D323" s="67" t="inlineStr">
        <x:is>
          <x:t xml:space="preserve">Да</x:t>
        </x:is>
      </x:c>
      <x:c r="E323" s="67" t="inlineStr">
        <x:is>
          <x:t xml:space="preserve">https://r-hockey.ru/team/1950-Slavutich/roster/2025/24932</x:t>
        </x:is>
      </x:c>
    </x:row>
    <x:row r="324">
      <x:c r="A324" s="67" t="inlineStr">
        <x:is>
          <x:t xml:space="preserve">Егор Залитов</x:t>
        </x:is>
      </x:c>
      <x:c r="B324" s="67" t="inlineStr">
        <x:is>
          <x:t xml:space="preserve">Славутич</x:t>
        </x:is>
      </x:c>
      <x:c r="C324" s="67" t="inlineStr">
        <x:is>
          <x:t xml:space="preserve">Защитник</x:t>
        </x:is>
      </x:c>
      <x:c r="D324" s="67" t="inlineStr">
        <x:is>
          <x:t xml:space="preserve">Да</x:t>
        </x:is>
      </x:c>
      <x:c r="E324" s="67" t="inlineStr">
        <x:is>
          <x:t xml:space="preserve">https://r-hockey.ru/team/1950-Slavutich/roster/2025/24932</x:t>
        </x:is>
      </x:c>
    </x:row>
    <x:row r="325">
      <x:c r="A325" s="67" t="inlineStr">
        <x:is>
          <x:t xml:space="preserve">Егор Плитин</x:t>
        </x:is>
      </x:c>
      <x:c r="B325" s="67" t="inlineStr">
        <x:is>
          <x:t xml:space="preserve">Славутич</x:t>
        </x:is>
      </x:c>
      <x:c r="C325" s="67" t="inlineStr">
        <x:is>
          <x:t xml:space="preserve">Защитник</x:t>
        </x:is>
      </x:c>
      <x:c r="D325" s="67" t="inlineStr">
        <x:is>
          <x:t xml:space="preserve">Да</x:t>
        </x:is>
      </x:c>
      <x:c r="E325" s="67" t="inlineStr">
        <x:is>
          <x:t xml:space="preserve">https://r-hockey.ru/team/1950-Slavutich/roster/2025/24932</x:t>
        </x:is>
      </x:c>
    </x:row>
    <x:row r="326">
      <x:c r="A326" s="67" t="inlineStr">
        <x:is>
          <x:t xml:space="preserve">Иван Антоновский</x:t>
        </x:is>
      </x:c>
      <x:c r="B326" s="67" t="inlineStr">
        <x:is>
          <x:t xml:space="preserve">Славутич</x:t>
        </x:is>
      </x:c>
      <x:c r="C326" s="67" t="inlineStr">
        <x:is>
          <x:t xml:space="preserve">Защитник</x:t>
        </x:is>
      </x:c>
      <x:c r="D326" s="67" t="inlineStr">
        <x:is>
          <x:t xml:space="preserve">Да</x:t>
        </x:is>
      </x:c>
      <x:c r="E326" s="67" t="inlineStr">
        <x:is>
          <x:t xml:space="preserve">https://r-hockey.ru/team/1950-Slavutich/roster/2025/24932</x:t>
        </x:is>
      </x:c>
    </x:row>
    <x:row r="327">
      <x:c r="A327" t="inlineStr">
        <x:is>
          <x:t xml:space="preserve">Кирилл Стихин</x:t>
        </x:is>
      </x:c>
      <x:c r="B327" t="inlineStr">
        <x:is>
          <x:t xml:space="preserve">Славутич</x:t>
        </x:is>
      </x:c>
      <x:c r="C327" t="inlineStr">
        <x:is>
          <x:t xml:space="preserve">Защитник</x:t>
        </x:is>
      </x:c>
      <x:c r="D327" t="inlineStr">
        <x:is>
          <x:t xml:space="preserve">Да</x:t>
        </x:is>
      </x:c>
      <x:c r="E327" t="inlineStr">
        <x:is>
          <x:t xml:space="preserve">https://r-hockey.ru/team/1950-Slavutich/roster/2025/24932</x:t>
        </x:is>
      </x:c>
    </x:row>
    <x:row r="328">
      <x:c r="A328" t="inlineStr">
        <x:is>
          <x:t xml:space="preserve">Максим Озеров</x:t>
        </x:is>
      </x:c>
      <x:c r="B328" t="inlineStr">
        <x:is>
          <x:t xml:space="preserve">Славутич</x:t>
        </x:is>
      </x:c>
      <x:c r="C328" t="inlineStr">
        <x:is>
          <x:t xml:space="preserve">Защитник</x:t>
        </x:is>
      </x:c>
      <x:c r="D328" t="inlineStr">
        <x:is>
          <x:t xml:space="preserve">Да</x:t>
        </x:is>
      </x:c>
      <x:c r="E328" t="inlineStr">
        <x:is>
          <x:t xml:space="preserve">https://r-hockey.ru/team/1950-Slavutich/roster/2025/24932</x:t>
        </x:is>
      </x:c>
    </x:row>
    <x:row r="329">
      <x:c r="A329" t="inlineStr">
        <x:is>
          <x:t xml:space="preserve">Михаил Мельников</x:t>
        </x:is>
      </x:c>
      <x:c r="B329" t="inlineStr">
        <x:is>
          <x:t xml:space="preserve">Славутич</x:t>
        </x:is>
      </x:c>
      <x:c r="C329" t="inlineStr">
        <x:is>
          <x:t xml:space="preserve">Защитник</x:t>
        </x:is>
      </x:c>
      <x:c r="D329" t="inlineStr">
        <x:is>
          <x:t xml:space="preserve">Да</x:t>
        </x:is>
      </x:c>
      <x:c r="E329" t="inlineStr">
        <x:is>
          <x:t xml:space="preserve">https://r-hockey.ru/team/1950-Slavutich/roster/2025/24932</x:t>
        </x:is>
      </x:c>
    </x:row>
    <x:row r="330">
      <x:c r="A330" t="inlineStr">
        <x:is>
          <x:t xml:space="preserve">Павел Серебряков</x:t>
        </x:is>
      </x:c>
      <x:c r="B330" t="inlineStr">
        <x:is>
          <x:t xml:space="preserve">Славутич</x:t>
        </x:is>
      </x:c>
      <x:c r="C330" t="inlineStr">
        <x:is>
          <x:t xml:space="preserve">Защитник</x:t>
        </x:is>
      </x:c>
      <x:c r="D330" t="inlineStr">
        <x:is>
          <x:t xml:space="preserve">Да</x:t>
        </x:is>
      </x:c>
      <x:c r="E330" t="inlineStr">
        <x:is>
          <x:t xml:space="preserve">https://r-hockey.ru/team/1950-Slavutich/roster/2025/24932</x:t>
        </x:is>
      </x:c>
    </x:row>
    <x:row r="331">
      <x:c r="A331" t="inlineStr">
        <x:is>
          <x:t xml:space="preserve">Степан Копылов</x:t>
        </x:is>
      </x:c>
      <x:c r="B331" t="inlineStr">
        <x:is>
          <x:t xml:space="preserve">Славутич</x:t>
        </x:is>
      </x:c>
      <x:c r="C331" t="inlineStr">
        <x:is>
          <x:t xml:space="preserve">Защитник</x:t>
        </x:is>
      </x:c>
      <x:c r="D331" t="inlineStr">
        <x:is>
          <x:t xml:space="preserve">Да</x:t>
        </x:is>
      </x:c>
      <x:c r="E331" t="inlineStr">
        <x:is>
          <x:t xml:space="preserve">https://r-hockey.ru/team/1950-Slavutich/roster/2025/24932</x:t>
        </x:is>
      </x:c>
    </x:row>
    <x:row r="332">
      <x:c r="A332" t="inlineStr">
        <x:is>
          <x:t xml:space="preserve">Александр Воробьев</x:t>
        </x:is>
      </x:c>
      <x:c r="B332" t="inlineStr">
        <x:is>
          <x:t xml:space="preserve">Славутич</x:t>
        </x:is>
      </x:c>
      <x:c r="C332" t="inlineStr">
        <x:is>
          <x:t xml:space="preserve">Нападающий</x:t>
        </x:is>
      </x:c>
      <x:c r="D332" t="inlineStr">
        <x:is>
          <x:t xml:space="preserve">Да</x:t>
        </x:is>
      </x:c>
      <x:c r="E332" t="inlineStr">
        <x:is>
          <x:t xml:space="preserve">https://r-hockey.ru/team/1950-Slavutich/roster/2025/24932</x:t>
        </x:is>
      </x:c>
    </x:row>
    <x:row r="333">
      <x:c r="A333" t="inlineStr">
        <x:is>
          <x:t xml:space="preserve">Александр Панюшкин</x:t>
        </x:is>
      </x:c>
      <x:c r="B333" t="inlineStr">
        <x:is>
          <x:t xml:space="preserve">Славутич</x:t>
        </x:is>
      </x:c>
      <x:c r="C333" t="inlineStr">
        <x:is>
          <x:t xml:space="preserve">Нападающий</x:t>
        </x:is>
      </x:c>
      <x:c r="D333" t="inlineStr">
        <x:is>
          <x:t xml:space="preserve">Да</x:t>
        </x:is>
      </x:c>
      <x:c r="E333" t="inlineStr">
        <x:is>
          <x:t xml:space="preserve">https://r-hockey.ru/team/1950-Slavutich/roster/2025/24932</x:t>
        </x:is>
      </x:c>
    </x:row>
    <x:row r="334">
      <x:c r="A334" t="inlineStr">
        <x:is>
          <x:t xml:space="preserve">Артем Пылаев</x:t>
        </x:is>
      </x:c>
      <x:c r="B334" t="inlineStr">
        <x:is>
          <x:t xml:space="preserve">Славутич</x:t>
        </x:is>
      </x:c>
      <x:c r="C334" t="inlineStr">
        <x:is>
          <x:t xml:space="preserve">Нападающий</x:t>
        </x:is>
      </x:c>
      <x:c r="D334" t="inlineStr">
        <x:is>
          <x:t xml:space="preserve">Да</x:t>
        </x:is>
      </x:c>
      <x:c r="E334" t="inlineStr">
        <x:is>
          <x:t xml:space="preserve">https://r-hockey.ru/team/1950-Slavutich/roster/2025/24932</x:t>
        </x:is>
      </x:c>
    </x:row>
    <x:row r="335">
      <x:c r="A335" t="inlineStr">
        <x:is>
          <x:t xml:space="preserve">Артур Егоров</x:t>
        </x:is>
      </x:c>
      <x:c r="B335" t="inlineStr">
        <x:is>
          <x:t xml:space="preserve">Славутич</x:t>
        </x:is>
      </x:c>
      <x:c r="C335" t="inlineStr">
        <x:is>
          <x:t xml:space="preserve">Нападающий</x:t>
        </x:is>
      </x:c>
      <x:c r="D335" t="inlineStr">
        <x:is>
          <x:t xml:space="preserve">Да</x:t>
        </x:is>
      </x:c>
      <x:c r="E335" t="inlineStr">
        <x:is>
          <x:t xml:space="preserve">https://r-hockey.ru/team/1950-Slavutich/roster/2025/24932</x:t>
        </x:is>
      </x:c>
    </x:row>
    <x:row r="336">
      <x:c r="A336" t="inlineStr">
        <x:is>
          <x:t xml:space="preserve">Владимир Машков</x:t>
        </x:is>
      </x:c>
      <x:c r="B336" t="inlineStr">
        <x:is>
          <x:t xml:space="preserve">Славутич</x:t>
        </x:is>
      </x:c>
      <x:c r="C336" t="inlineStr">
        <x:is>
          <x:t xml:space="preserve">Нападающий</x:t>
        </x:is>
      </x:c>
      <x:c r="D336" t="inlineStr">
        <x:is>
          <x:t xml:space="preserve">Да</x:t>
        </x:is>
      </x:c>
      <x:c r="E336" t="inlineStr">
        <x:is>
          <x:t xml:space="preserve">https://r-hockey.ru/team/1950-Slavutich/roster/2025/24932</x:t>
        </x:is>
      </x:c>
    </x:row>
    <x:row r="337">
      <x:c r="A337" t="inlineStr">
        <x:is>
          <x:t xml:space="preserve">Данила Курков</x:t>
        </x:is>
      </x:c>
      <x:c r="B337" t="inlineStr">
        <x:is>
          <x:t xml:space="preserve">Славутич</x:t>
        </x:is>
      </x:c>
      <x:c r="C337" t="inlineStr">
        <x:is>
          <x:t xml:space="preserve">Нападающий</x:t>
        </x:is>
      </x:c>
      <x:c r="D337" t="inlineStr">
        <x:is>
          <x:t xml:space="preserve">Да</x:t>
        </x:is>
      </x:c>
      <x:c r="E337" t="inlineStr">
        <x:is>
          <x:t xml:space="preserve">https://r-hockey.ru/team/1950-Slavutich/roster/2025/24932</x:t>
        </x:is>
      </x:c>
    </x:row>
    <x:row r="338">
      <x:c r="A338" t="inlineStr">
        <x:is>
          <x:t xml:space="preserve">Дмитрий Антонов</x:t>
        </x:is>
      </x:c>
      <x:c r="B338" t="inlineStr">
        <x:is>
          <x:t xml:space="preserve">Славутич</x:t>
        </x:is>
      </x:c>
      <x:c r="C338" t="inlineStr">
        <x:is>
          <x:t xml:space="preserve">Нападающий</x:t>
        </x:is>
      </x:c>
      <x:c r="D338" t="inlineStr">
        <x:is>
          <x:t xml:space="preserve">Да</x:t>
        </x:is>
      </x:c>
      <x:c r="E338" t="inlineStr">
        <x:is>
          <x:t xml:space="preserve">https://r-hockey.ru/team/1950-Slavutich/roster/2025/24932</x:t>
        </x:is>
      </x:c>
    </x:row>
    <x:row r="339">
      <x:c r="A339" t="inlineStr">
        <x:is>
          <x:t xml:space="preserve">Дмитрий Носков</x:t>
        </x:is>
      </x:c>
      <x:c r="B339" t="inlineStr">
        <x:is>
          <x:t xml:space="preserve">Славутич</x:t>
        </x:is>
      </x:c>
      <x:c r="C339" t="inlineStr">
        <x:is>
          <x:t xml:space="preserve">Нападающий</x:t>
        </x:is>
      </x:c>
      <x:c r="D339" t="inlineStr">
        <x:is>
          <x:t xml:space="preserve">Да</x:t>
        </x:is>
      </x:c>
      <x:c r="E339" t="inlineStr">
        <x:is>
          <x:t xml:space="preserve">https://r-hockey.ru/team/1950-Slavutich/roster/2025/24932</x:t>
        </x:is>
      </x:c>
    </x:row>
    <x:row r="340">
      <x:c r="A340" t="inlineStr">
        <x:is>
          <x:t xml:space="preserve">Евгений Кривых</x:t>
        </x:is>
      </x:c>
      <x:c r="B340" t="inlineStr">
        <x:is>
          <x:t xml:space="preserve">Славутич</x:t>
        </x:is>
      </x:c>
      <x:c r="C340" t="inlineStr">
        <x:is>
          <x:t xml:space="preserve">Нападающий</x:t>
        </x:is>
      </x:c>
      <x:c r="D340" t="inlineStr">
        <x:is>
          <x:t xml:space="preserve">Да</x:t>
        </x:is>
      </x:c>
      <x:c r="E340" t="inlineStr">
        <x:is>
          <x:t xml:space="preserve">https://r-hockey.ru/team/1950-Slavutich/roster/2025/24932</x:t>
        </x:is>
      </x:c>
    </x:row>
    <x:row r="341">
      <x:c r="A341" t="inlineStr">
        <x:is>
          <x:t xml:space="preserve">Иван Курдин</x:t>
        </x:is>
      </x:c>
      <x:c r="B341" t="inlineStr">
        <x:is>
          <x:t xml:space="preserve">Славутич</x:t>
        </x:is>
      </x:c>
      <x:c r="C341" t="inlineStr">
        <x:is>
          <x:t xml:space="preserve">Нападающий</x:t>
        </x:is>
      </x:c>
      <x:c r="D341" t="inlineStr">
        <x:is>
          <x:t xml:space="preserve">Да</x:t>
        </x:is>
      </x:c>
      <x:c r="E341" t="inlineStr">
        <x:is>
          <x:t xml:space="preserve">https://r-hockey.ru/team/1950-Slavutich/roster/2025/24932</x:t>
        </x:is>
      </x:c>
    </x:row>
    <x:row r="342">
      <x:c r="A342" t="inlineStr">
        <x:is>
          <x:t xml:space="preserve">Игорь Наумов</x:t>
        </x:is>
      </x:c>
      <x:c r="B342" t="inlineStr">
        <x:is>
          <x:t xml:space="preserve">Славутич</x:t>
        </x:is>
      </x:c>
      <x:c r="C342" t="inlineStr">
        <x:is>
          <x:t xml:space="preserve">Нападающий</x:t>
        </x:is>
      </x:c>
      <x:c r="D342" t="inlineStr">
        <x:is>
          <x:t xml:space="preserve">Да</x:t>
        </x:is>
      </x:c>
      <x:c r="E342" t="inlineStr">
        <x:is>
          <x:t xml:space="preserve">https://r-hockey.ru/team/1950-Slavutich/roster/2025/24932</x:t>
        </x:is>
      </x:c>
    </x:row>
    <x:row r="343">
      <x:c r="A343" t="inlineStr">
        <x:is>
          <x:t xml:space="preserve">Илья Паранин</x:t>
        </x:is>
      </x:c>
      <x:c r="B343" t="inlineStr">
        <x:is>
          <x:t xml:space="preserve">Славутич</x:t>
        </x:is>
      </x:c>
      <x:c r="C343" t="inlineStr">
        <x:is>
          <x:t xml:space="preserve">Нападающий</x:t>
        </x:is>
      </x:c>
      <x:c r="D343" t="inlineStr">
        <x:is>
          <x:t xml:space="preserve">Да</x:t>
        </x:is>
      </x:c>
      <x:c r="E343" t="inlineStr">
        <x:is>
          <x:t xml:space="preserve">https://r-hockey.ru/team/1950-Slavutich/roster/2025/24932</x:t>
        </x:is>
      </x:c>
    </x:row>
    <x:row r="344">
      <x:c r="A344" t="inlineStr">
        <x:is>
          <x:t xml:space="preserve">Максим Полькин</x:t>
        </x:is>
      </x:c>
      <x:c r="B344" t="inlineStr">
        <x:is>
          <x:t xml:space="preserve">Славутич</x:t>
        </x:is>
      </x:c>
      <x:c r="C344" t="inlineStr">
        <x:is>
          <x:t xml:space="preserve">Нападающий</x:t>
        </x:is>
      </x:c>
      <x:c r="D344" t="inlineStr">
        <x:is>
          <x:t xml:space="preserve">Да</x:t>
        </x:is>
      </x:c>
      <x:c r="E344" t="inlineStr">
        <x:is>
          <x:t xml:space="preserve">https://r-hockey.ru/team/1950-Slavutich/roster/2025/24932</x:t>
        </x:is>
      </x:c>
    </x:row>
    <x:row r="345">
      <x:c r="A345" t="inlineStr">
        <x:is>
          <x:t xml:space="preserve">Максим Усков</x:t>
        </x:is>
      </x:c>
      <x:c r="B345" t="inlineStr">
        <x:is>
          <x:t xml:space="preserve">Славутич</x:t>
        </x:is>
      </x:c>
      <x:c r="C345" t="inlineStr">
        <x:is>
          <x:t xml:space="preserve">Нападающий</x:t>
        </x:is>
      </x:c>
      <x:c r="D345" t="inlineStr">
        <x:is>
          <x:t xml:space="preserve">Да</x:t>
        </x:is>
      </x:c>
      <x:c r="E345" t="inlineStr">
        <x:is>
          <x:t xml:space="preserve">https://r-hockey.ru/team/1950-Slavutich/roster/2025/24932</x:t>
        </x:is>
      </x:c>
    </x:row>
    <x:row r="346">
      <x:c r="A346" t="inlineStr">
        <x:is>
          <x:t xml:space="preserve">Никита Савченко</x:t>
        </x:is>
      </x:c>
      <x:c r="B346" t="inlineStr">
        <x:is>
          <x:t xml:space="preserve">Славутич</x:t>
        </x:is>
      </x:c>
      <x:c r="C346" t="inlineStr">
        <x:is>
          <x:t xml:space="preserve">Нападающий</x:t>
        </x:is>
      </x:c>
      <x:c r="D346" t="inlineStr">
        <x:is>
          <x:t xml:space="preserve">Да</x:t>
        </x:is>
      </x:c>
      <x:c r="E346" t="inlineStr">
        <x:is>
          <x:t xml:space="preserve">https://r-hockey.ru/team/1950-Slavutich/roster/2025/24932</x:t>
        </x:is>
      </x:c>
    </x:row>
    <x:row r="347">
      <x:c r="A347" t="inlineStr">
        <x:is>
          <x:t xml:space="preserve">Павел Зимин</x:t>
        </x:is>
      </x:c>
      <x:c r="B347" t="inlineStr">
        <x:is>
          <x:t xml:space="preserve">Славутич</x:t>
        </x:is>
      </x:c>
      <x:c r="C347" t="inlineStr">
        <x:is>
          <x:t xml:space="preserve">Нападающий</x:t>
        </x:is>
      </x:c>
      <x:c r="D347" t="inlineStr">
        <x:is>
          <x:t xml:space="preserve">Да</x:t>
        </x:is>
      </x:c>
      <x:c r="E347" t="inlineStr">
        <x:is>
          <x:t xml:space="preserve">https://r-hockey.ru/team/1950-Slavutich/roster/2025/24932</x:t>
        </x:is>
      </x:c>
    </x:row>
    <x:row r="348">
      <x:c r="A348" t="inlineStr">
        <x:is>
          <x:t xml:space="preserve">Ренат Адеев</x:t>
        </x:is>
      </x:c>
      <x:c r="B348" t="inlineStr">
        <x:is>
          <x:t xml:space="preserve">Славутич</x:t>
        </x:is>
      </x:c>
      <x:c r="C348" t="inlineStr">
        <x:is>
          <x:t xml:space="preserve">Нападающий</x:t>
        </x:is>
      </x:c>
      <x:c r="D348" t="inlineStr">
        <x:is>
          <x:t xml:space="preserve">Да</x:t>
        </x:is>
      </x:c>
      <x:c r="E348" t="inlineStr">
        <x:is>
          <x:t xml:space="preserve">https://r-hockey.ru/team/1950-Slavutich/roster/2025/24932</x:t>
        </x:is>
      </x:c>
    </x:row>
    <x:row r="349">
      <x:c r="A349" t="inlineStr">
        <x:is>
          <x:t xml:space="preserve">Роберт Чернов</x:t>
        </x:is>
      </x:c>
      <x:c r="B349" t="inlineStr">
        <x:is>
          <x:t xml:space="preserve">Славутич</x:t>
        </x:is>
      </x:c>
      <x:c r="C349" t="inlineStr">
        <x:is>
          <x:t xml:space="preserve">Нападающий</x:t>
        </x:is>
      </x:c>
      <x:c r="D349" t="inlineStr">
        <x:is>
          <x:t xml:space="preserve">Да</x:t>
        </x:is>
      </x:c>
      <x:c r="E349" t="inlineStr">
        <x:is>
          <x:t xml:space="preserve">https://r-hockey.ru/team/1950-Slavutich/roster/2025/24932</x:t>
        </x:is>
      </x:c>
    </x:row>
    <x:row r="350">
      <x:c r="A350" t="inlineStr">
        <x:is>
          <x:t xml:space="preserve">Степан Стешенко</x:t>
        </x:is>
      </x:c>
      <x:c r="B350" t="inlineStr">
        <x:is>
          <x:t xml:space="preserve">Славутич</x:t>
        </x:is>
      </x:c>
      <x:c r="C350" t="inlineStr">
        <x:is>
          <x:t xml:space="preserve">Нападающий</x:t>
        </x:is>
      </x:c>
      <x:c r="D350" t="inlineStr">
        <x:is>
          <x:t xml:space="preserve">Да</x:t>
        </x:is>
      </x:c>
      <x:c r="E350" t="inlineStr">
        <x:is>
          <x:t xml:space="preserve">https://r-hockey.ru/team/1950-Slavutich/roster/2025/24932</x:t>
        </x:is>
      </x:c>
    </x:row>
    <x:row r="351">
      <x:c r="A351" t="inlineStr">
        <x:is>
          <x:t xml:space="preserve">Артем Шпилев</x:t>
        </x:is>
      </x:c>
      <x:c r="B351" t="inlineStr">
        <x:is>
          <x:t xml:space="preserve">Химик</x:t>
        </x:is>
      </x:c>
      <x:c r="C351" t="inlineStr">
        <x:is>
          <x:t xml:space="preserve">Вратарь</x:t>
        </x:is>
      </x:c>
      <x:c r="D351" t="inlineStr">
        <x:is>
          <x:t xml:space="preserve">Да</x:t>
        </x:is>
      </x:c>
      <x:c r="E351" t="inlineStr">
        <x:is>
          <x:t xml:space="preserve">https://www.sports.ru/hockey/club/khimik-ska/team/</x:t>
        </x:is>
      </x:c>
    </x:row>
    <x:row r="352">
      <x:c r="A352" t="inlineStr">
        <x:is>
          <x:t xml:space="preserve">Вадим Вашкевич</x:t>
        </x:is>
      </x:c>
      <x:c r="B352" t="inlineStr">
        <x:is>
          <x:t xml:space="preserve">Химик</x:t>
        </x:is>
      </x:c>
      <x:c r="C352" t="inlineStr">
        <x:is>
          <x:t xml:space="preserve">Вратарь</x:t>
        </x:is>
      </x:c>
      <x:c r="D352" t="inlineStr">
        <x:is>
          <x:t xml:space="preserve">Да</x:t>
        </x:is>
      </x:c>
      <x:c r="E352" t="inlineStr">
        <x:is>
          <x:t xml:space="preserve">https://www.sports.ru/hockey/club/khimik-ska/team/</x:t>
        </x:is>
      </x:c>
    </x:row>
    <x:row r="353">
      <x:c r="A353" t="inlineStr">
        <x:is>
          <x:t xml:space="preserve">Егор Кирпиченок</x:t>
        </x:is>
      </x:c>
      <x:c r="B353" t="inlineStr">
        <x:is>
          <x:t xml:space="preserve">Химик</x:t>
        </x:is>
      </x:c>
      <x:c r="C353" t="inlineStr">
        <x:is>
          <x:t xml:space="preserve">Вратарь</x:t>
        </x:is>
      </x:c>
      <x:c r="D353" t="inlineStr">
        <x:is>
          <x:t xml:space="preserve">Да</x:t>
        </x:is>
      </x:c>
      <x:c r="E353" t="inlineStr">
        <x:is>
          <x:t xml:space="preserve">https://www.sports.ru/hockey/club/khimik-ska/team/</x:t>
        </x:is>
      </x:c>
    </x:row>
    <x:row r="354">
      <x:c r="A354" t="inlineStr">
        <x:is>
          <x:t xml:space="preserve">Степан Горячевских</x:t>
        </x:is>
      </x:c>
      <x:c r="B354" t="inlineStr">
        <x:is>
          <x:t xml:space="preserve">Химик</x:t>
        </x:is>
      </x:c>
      <x:c r="C354" t="inlineStr">
        <x:is>
          <x:t xml:space="preserve">Вратарь</x:t>
        </x:is>
      </x:c>
      <x:c r="D354" t="inlineStr">
        <x:is>
          <x:t xml:space="preserve">Да</x:t>
        </x:is>
      </x:c>
      <x:c r="E354" t="inlineStr">
        <x:is>
          <x:t xml:space="preserve">https://www.sports.ru/hockey/club/khimik-ska/team/</x:t>
        </x:is>
      </x:c>
    </x:row>
    <x:row r="355">
      <x:c r="A355" t="inlineStr">
        <x:is>
          <x:t xml:space="preserve">Александр Исаев</x:t>
        </x:is>
      </x:c>
      <x:c r="B355" t="inlineStr">
        <x:is>
          <x:t xml:space="preserve">Химик</x:t>
        </x:is>
      </x:c>
      <x:c r="C355" t="inlineStr">
        <x:is>
          <x:t xml:space="preserve">Защитник</x:t>
        </x:is>
      </x:c>
      <x:c r="D355" t="inlineStr">
        <x:is>
          <x:t xml:space="preserve">Да</x:t>
        </x:is>
      </x:c>
      <x:c r="E355" t="inlineStr">
        <x:is>
          <x:t xml:space="preserve">https://www.sports.ru/hockey/club/khimik-ska/team/</x:t>
        </x:is>
      </x:c>
    </x:row>
    <x:row r="356">
      <x:c r="A356" t="inlineStr">
        <x:is>
          <x:t xml:space="preserve">Алексей Садовик</x:t>
        </x:is>
      </x:c>
      <x:c r="B356" t="inlineStr">
        <x:is>
          <x:t xml:space="preserve">Химик</x:t>
        </x:is>
      </x:c>
      <x:c r="C356" t="inlineStr">
        <x:is>
          <x:t xml:space="preserve">Защитник</x:t>
        </x:is>
      </x:c>
      <x:c r="D356" t="inlineStr">
        <x:is>
          <x:t xml:space="preserve">Да</x:t>
        </x:is>
      </x:c>
      <x:c r="E356" t="inlineStr">
        <x:is>
          <x:t xml:space="preserve">https://www.sports.ru/hockey/club/khimik-ska/team/</x:t>
        </x:is>
      </x:c>
    </x:row>
    <x:row r="357">
      <x:c r="A357" t="inlineStr">
        <x:is>
          <x:t xml:space="preserve">Алексей Храповицкий</x:t>
        </x:is>
      </x:c>
      <x:c r="B357" t="inlineStr">
        <x:is>
          <x:t xml:space="preserve">Химик</x:t>
        </x:is>
      </x:c>
      <x:c r="C357" t="inlineStr">
        <x:is>
          <x:t xml:space="preserve">Защитник</x:t>
        </x:is>
      </x:c>
      <x:c r="D357" t="inlineStr">
        <x:is>
          <x:t xml:space="preserve">Да</x:t>
        </x:is>
      </x:c>
      <x:c r="E357" t="inlineStr">
        <x:is>
          <x:t xml:space="preserve">https://www.sports.ru/hockey/club/khimik-ska/team/</x:t>
        </x:is>
      </x:c>
    </x:row>
    <x:row r="358">
      <x:c r="A358" t="inlineStr">
        <x:is>
          <x:t xml:space="preserve">Евгений Еременко</x:t>
        </x:is>
      </x:c>
      <x:c r="B358" t="inlineStr">
        <x:is>
          <x:t xml:space="preserve">Химик</x:t>
        </x:is>
      </x:c>
      <x:c r="C358" t="inlineStr">
        <x:is>
          <x:t xml:space="preserve">Защитник</x:t>
        </x:is>
      </x:c>
      <x:c r="D358" t="inlineStr">
        <x:is>
          <x:t xml:space="preserve">Да</x:t>
        </x:is>
      </x:c>
      <x:c r="E358" t="inlineStr">
        <x:is>
          <x:t xml:space="preserve">https://www.sports.ru/hockey/club/khimik-ska/team/</x:t>
        </x:is>
      </x:c>
    </x:row>
    <x:row r="359">
      <x:c r="A359" t="inlineStr">
        <x:is>
          <x:t xml:space="preserve">Кирилл Гусаров</x:t>
        </x:is>
      </x:c>
      <x:c r="B359" t="inlineStr">
        <x:is>
          <x:t xml:space="preserve">Химик</x:t>
        </x:is>
      </x:c>
      <x:c r="C359" t="inlineStr">
        <x:is>
          <x:t xml:space="preserve">Защитник</x:t>
        </x:is>
      </x:c>
      <x:c r="D359" t="inlineStr">
        <x:is>
          <x:t xml:space="preserve">Да</x:t>
        </x:is>
      </x:c>
      <x:c r="E359" t="inlineStr">
        <x:is>
          <x:t xml:space="preserve">https://www.sports.ru/hockey/club/khimik-ska/team/</x:t>
        </x:is>
      </x:c>
    </x:row>
    <x:row r="360">
      <x:c r="A360" t="inlineStr">
        <x:is>
          <x:t xml:space="preserve">Никита Ермачков</x:t>
        </x:is>
      </x:c>
      <x:c r="B360" t="inlineStr">
        <x:is>
          <x:t xml:space="preserve">Химик</x:t>
        </x:is>
      </x:c>
      <x:c r="C360" t="inlineStr">
        <x:is>
          <x:t xml:space="preserve">Защитник</x:t>
        </x:is>
      </x:c>
      <x:c r="D360" t="inlineStr">
        <x:is>
          <x:t xml:space="preserve">Да</x:t>
        </x:is>
      </x:c>
      <x:c r="E360" t="inlineStr">
        <x:is>
          <x:t xml:space="preserve">https://www.sports.ru/hockey/club/khimik-ska/team/</x:t>
        </x:is>
      </x:c>
    </x:row>
    <x:row r="361">
      <x:c r="A361" t="inlineStr">
        <x:is>
          <x:t xml:space="preserve">Руслан Трубкин</x:t>
        </x:is>
      </x:c>
      <x:c r="B361" t="inlineStr">
        <x:is>
          <x:t xml:space="preserve">Химик</x:t>
        </x:is>
      </x:c>
      <x:c r="C361" t="inlineStr">
        <x:is>
          <x:t xml:space="preserve">Защитник</x:t>
        </x:is>
      </x:c>
      <x:c r="D361" t="inlineStr">
        <x:is>
          <x:t xml:space="preserve">Да</x:t>
        </x:is>
      </x:c>
      <x:c r="E361" t="inlineStr">
        <x:is>
          <x:t xml:space="preserve">https://www.sports.ru/hockey/club/khimik-ska/team/</x:t>
        </x:is>
      </x:c>
    </x:row>
    <x:row r="362">
      <x:c r="A362" t="inlineStr">
        <x:is>
          <x:t xml:space="preserve">Яков Усович</x:t>
        </x:is>
      </x:c>
      <x:c r="B362" t="inlineStr">
        <x:is>
          <x:t xml:space="preserve">Химик</x:t>
        </x:is>
      </x:c>
      <x:c r="C362" t="inlineStr">
        <x:is>
          <x:t xml:space="preserve">Защитник</x:t>
        </x:is>
      </x:c>
      <x:c r="D362" t="inlineStr">
        <x:is>
          <x:t xml:space="preserve">Да</x:t>
        </x:is>
      </x:c>
      <x:c r="E362" t="inlineStr">
        <x:is>
          <x:t xml:space="preserve">https://www.sports.ru/hockey/club/khimik-ska/team/</x:t>
        </x:is>
      </x:c>
    </x:row>
    <x:row r="363">
      <x:c r="A363" t="inlineStr">
        <x:is>
          <x:t xml:space="preserve">Артем Балтрук</x:t>
        </x:is>
      </x:c>
      <x:c r="B363" t="inlineStr">
        <x:is>
          <x:t xml:space="preserve">Химик</x:t>
        </x:is>
      </x:c>
      <x:c r="C363" t="inlineStr">
        <x:is>
          <x:t xml:space="preserve">Нападающий</x:t>
        </x:is>
      </x:c>
      <x:c r="D363" t="inlineStr">
        <x:is>
          <x:t xml:space="preserve">Да</x:t>
        </x:is>
      </x:c>
      <x:c r="E363" t="inlineStr">
        <x:is>
          <x:t xml:space="preserve">https://www.sports.ru/hockey/club/khimik-ska/team/</x:t>
        </x:is>
      </x:c>
    </x:row>
    <x:row r="364">
      <x:c r="A364" t="inlineStr">
        <x:is>
          <x:t xml:space="preserve">Артем Землянкин</x:t>
        </x:is>
      </x:c>
      <x:c r="B364" t="inlineStr">
        <x:is>
          <x:t xml:space="preserve">Химик</x:t>
        </x:is>
      </x:c>
      <x:c r="C364" t="inlineStr">
        <x:is>
          <x:t xml:space="preserve">Нападающий</x:t>
        </x:is>
      </x:c>
      <x:c r="D364" t="inlineStr">
        <x:is>
          <x:t xml:space="preserve">Да</x:t>
        </x:is>
      </x:c>
      <x:c r="E364" t="inlineStr">
        <x:is>
          <x:t xml:space="preserve">https://www.sports.ru/hockey/club/khimik-ska/team/</x:t>
        </x:is>
      </x:c>
    </x:row>
    <x:row r="365">
      <x:c r="A365" t="inlineStr">
        <x:is>
          <x:t xml:space="preserve">Артем Логунов</x:t>
        </x:is>
      </x:c>
      <x:c r="B365" t="inlineStr">
        <x:is>
          <x:t xml:space="preserve">Химик</x:t>
        </x:is>
      </x:c>
      <x:c r="C365" t="inlineStr">
        <x:is>
          <x:t xml:space="preserve">Нападающий</x:t>
        </x:is>
      </x:c>
      <x:c r="D365" t="inlineStr">
        <x:is>
          <x:t xml:space="preserve">Да</x:t>
        </x:is>
      </x:c>
      <x:c r="E365" t="inlineStr">
        <x:is>
          <x:t xml:space="preserve">https://www.sports.ru/hockey/club/khimik-ska/team/</x:t>
        </x:is>
      </x:c>
    </x:row>
    <x:row r="366">
      <x:c r="A366" t="inlineStr">
        <x:is>
          <x:t xml:space="preserve">Артем Ментюк</x:t>
        </x:is>
      </x:c>
      <x:c r="B366" t="inlineStr">
        <x:is>
          <x:t xml:space="preserve">Химик</x:t>
        </x:is>
      </x:c>
      <x:c r="C366" t="inlineStr">
        <x:is>
          <x:t xml:space="preserve">Нападающий</x:t>
        </x:is>
      </x:c>
      <x:c r="D366" t="inlineStr">
        <x:is>
          <x:t xml:space="preserve">Да</x:t>
        </x:is>
      </x:c>
      <x:c r="E366" t="inlineStr">
        <x:is>
          <x:t xml:space="preserve">https://www.sports.ru/hockey/club/khimik-ska/team/</x:t>
        </x:is>
      </x:c>
    </x:row>
    <x:row r="367">
      <x:c r="A367" t="inlineStr">
        <x:is>
          <x:t xml:space="preserve">Вадим Мурашов</x:t>
        </x:is>
      </x:c>
      <x:c r="B367" t="inlineStr">
        <x:is>
          <x:t xml:space="preserve">Химик</x:t>
        </x:is>
      </x:c>
      <x:c r="C367" t="inlineStr">
        <x:is>
          <x:t xml:space="preserve">Нападающий</x:t>
        </x:is>
      </x:c>
      <x:c r="D367" t="inlineStr">
        <x:is>
          <x:t xml:space="preserve">Да</x:t>
        </x:is>
      </x:c>
      <x:c r="E367" t="inlineStr">
        <x:is>
          <x:t xml:space="preserve">https://www.sports.ru/hockey/club/khimik-ska/team/</x:t>
        </x:is>
      </x:c>
    </x:row>
    <x:row r="368">
      <x:c r="A368" t="inlineStr">
        <x:is>
          <x:t xml:space="preserve">Виктор Гавриленко</x:t>
        </x:is>
      </x:c>
      <x:c r="B368" t="inlineStr">
        <x:is>
          <x:t xml:space="preserve">Химик</x:t>
        </x:is>
      </x:c>
      <x:c r="C368" t="inlineStr">
        <x:is>
          <x:t xml:space="preserve">Нападающий</x:t>
        </x:is>
      </x:c>
      <x:c r="D368" t="inlineStr">
        <x:is>
          <x:t xml:space="preserve">Да</x:t>
        </x:is>
      </x:c>
      <x:c r="E368" t="inlineStr">
        <x:is>
          <x:t xml:space="preserve">https://www.sports.ru/hockey/club/khimik-ska/team/</x:t>
        </x:is>
      </x:c>
    </x:row>
    <x:row r="369">
      <x:c r="A369" t="inlineStr">
        <x:is>
          <x:t xml:space="preserve">Вячеслав Шарипов</x:t>
        </x:is>
      </x:c>
      <x:c r="B369" t="inlineStr">
        <x:is>
          <x:t xml:space="preserve">Химик</x:t>
        </x:is>
      </x:c>
      <x:c r="C369" t="inlineStr">
        <x:is>
          <x:t xml:space="preserve">Нападающий</x:t>
        </x:is>
      </x:c>
      <x:c r="D369" t="inlineStr">
        <x:is>
          <x:t xml:space="preserve">Да</x:t>
        </x:is>
      </x:c>
      <x:c r="E369" t="inlineStr">
        <x:is>
          <x:t xml:space="preserve">https://www.sports.ru/hockey/club/khimik-ska/team/</x:t>
        </x:is>
      </x:c>
    </x:row>
    <x:row r="370">
      <x:c r="A370" t="inlineStr">
        <x:is>
          <x:t xml:space="preserve">Денис Кирпиченок</x:t>
        </x:is>
      </x:c>
      <x:c r="B370" t="inlineStr">
        <x:is>
          <x:t xml:space="preserve">Химик</x:t>
        </x:is>
      </x:c>
      <x:c r="C370" t="inlineStr">
        <x:is>
          <x:t xml:space="preserve">Нападающий</x:t>
        </x:is>
      </x:c>
      <x:c r="D370" t="inlineStr">
        <x:is>
          <x:t xml:space="preserve">Да</x:t>
        </x:is>
      </x:c>
      <x:c r="E370" t="inlineStr">
        <x:is>
          <x:t xml:space="preserve">https://www.sports.ru/hockey/club/khimik-ska/team/</x:t>
        </x:is>
      </x:c>
    </x:row>
    <x:row r="371">
      <x:c r="A371" t="inlineStr">
        <x:is>
          <x:t xml:space="preserve">Дмитрий Желнеровский</x:t>
        </x:is>
      </x:c>
      <x:c r="B371" t="inlineStr">
        <x:is>
          <x:t xml:space="preserve">Химик</x:t>
        </x:is>
      </x:c>
      <x:c r="C371" t="inlineStr">
        <x:is>
          <x:t xml:space="preserve">Нападающий</x:t>
        </x:is>
      </x:c>
      <x:c r="D371" t="inlineStr">
        <x:is>
          <x:t xml:space="preserve">Да</x:t>
        </x:is>
      </x:c>
      <x:c r="E371" t="inlineStr">
        <x:is>
          <x:t xml:space="preserve">https://www.sports.ru/hockey/club/khimik-ska/team/</x:t>
        </x:is>
      </x:c>
    </x:row>
    <x:row r="372">
      <x:c r="A372" t="inlineStr">
        <x:is>
          <x:t xml:space="preserve">Дмитрий Каштанов</x:t>
        </x:is>
      </x:c>
      <x:c r="B372" t="inlineStr">
        <x:is>
          <x:t xml:space="preserve">Химик</x:t>
        </x:is>
      </x:c>
      <x:c r="C372" t="inlineStr">
        <x:is>
          <x:t xml:space="preserve">Нападающий</x:t>
        </x:is>
      </x:c>
      <x:c r="D372" t="inlineStr">
        <x:is>
          <x:t xml:space="preserve">Да</x:t>
        </x:is>
      </x:c>
      <x:c r="E372" t="inlineStr">
        <x:is>
          <x:t xml:space="preserve">https://www.sports.ru/hockey/club/khimik-ska/team/</x:t>
        </x:is>
      </x:c>
    </x:row>
    <x:row r="373">
      <x:c r="A373" t="inlineStr">
        <x:is>
          <x:t xml:space="preserve">Егор Калугин</x:t>
        </x:is>
      </x:c>
      <x:c r="B373" t="inlineStr">
        <x:is>
          <x:t xml:space="preserve">Химик</x:t>
        </x:is>
      </x:c>
      <x:c r="C373" t="inlineStr">
        <x:is>
          <x:t xml:space="preserve">Нападающий</x:t>
        </x:is>
      </x:c>
      <x:c r="D373" t="inlineStr">
        <x:is>
          <x:t xml:space="preserve">Да</x:t>
        </x:is>
      </x:c>
      <x:c r="E373" t="inlineStr">
        <x:is>
          <x:t xml:space="preserve">https://www.sports.ru/hockey/club/khimik-ska/team/</x:t>
        </x:is>
      </x:c>
    </x:row>
    <x:row r="374">
      <x:c r="A374" t="inlineStr">
        <x:is>
          <x:t xml:space="preserve">Максим Кривченя</x:t>
        </x:is>
      </x:c>
      <x:c r="B374" t="inlineStr">
        <x:is>
          <x:t xml:space="preserve">Химик</x:t>
        </x:is>
      </x:c>
      <x:c r="C374" t="inlineStr">
        <x:is>
          <x:t xml:space="preserve">Нападающий</x:t>
        </x:is>
      </x:c>
      <x:c r="D374" t="inlineStr">
        <x:is>
          <x:t xml:space="preserve">Да</x:t>
        </x:is>
      </x:c>
      <x:c r="E374" t="inlineStr">
        <x:is>
          <x:t xml:space="preserve">https://www.sports.ru/hockey/club/khimik-ska/team/</x:t>
        </x:is>
      </x:c>
    </x:row>
    <x:row r="375">
      <x:c r="A375" t="inlineStr">
        <x:is>
          <x:t xml:space="preserve">Мериан Лосев</x:t>
        </x:is>
      </x:c>
      <x:c r="B375" t="inlineStr">
        <x:is>
          <x:t xml:space="preserve">Химик</x:t>
        </x:is>
      </x:c>
      <x:c r="C375" t="inlineStr">
        <x:is>
          <x:t xml:space="preserve">Нападающий</x:t>
        </x:is>
      </x:c>
      <x:c r="D375" t="inlineStr">
        <x:is>
          <x:t xml:space="preserve">Да</x:t>
        </x:is>
      </x:c>
      <x:c r="E375" t="inlineStr">
        <x:is>
          <x:t xml:space="preserve">https://www.sports.ru/hockey/club/khimik-ska/team/</x:t>
        </x:is>
      </x:c>
    </x:row>
    <x:row r="376">
      <x:c r="A376" t="inlineStr">
        <x:is>
          <x:t xml:space="preserve">Михаил Бучкин</x:t>
        </x:is>
      </x:c>
      <x:c r="B376" t="inlineStr">
        <x:is>
          <x:t xml:space="preserve">Химик</x:t>
        </x:is>
      </x:c>
      <x:c r="C376" t="inlineStr">
        <x:is>
          <x:t xml:space="preserve">Нападающий</x:t>
        </x:is>
      </x:c>
      <x:c r="D376" t="inlineStr">
        <x:is>
          <x:t xml:space="preserve">Да</x:t>
        </x:is>
      </x:c>
      <x:c r="E376" t="inlineStr">
        <x:is>
          <x:t xml:space="preserve">https://www.sports.ru/hockey/club/khimik-ska/team/</x:t>
        </x:is>
      </x:c>
    </x:row>
    <x:row r="377">
      <x:c r="A377" t="inlineStr">
        <x:is>
          <x:t xml:space="preserve">Руслан Журня</x:t>
        </x:is>
      </x:c>
      <x:c r="B377" t="inlineStr">
        <x:is>
          <x:t xml:space="preserve">Химик</x:t>
        </x:is>
      </x:c>
      <x:c r="C377" t="inlineStr">
        <x:is>
          <x:t xml:space="preserve">Нападающий</x:t>
        </x:is>
      </x:c>
      <x:c r="D377" t="inlineStr">
        <x:is>
          <x:t xml:space="preserve">Да</x:t>
        </x:is>
      </x:c>
      <x:c r="E377" t="inlineStr">
        <x:is>
          <x:t xml:space="preserve">https://www.sports.ru/hockey/club/khimik-ska/team/</x:t>
        </x:is>
      </x:c>
    </x:row>
    <x:row r="378">
      <x:c r="A378" t="inlineStr">
        <x:is>
          <x:t xml:space="preserve">Александр Осипков</x:t>
        </x:is>
      </x:c>
      <x:c r="B378" t="inlineStr">
        <x:is>
          <x:t xml:space="preserve">Шахтер</x:t>
        </x:is>
      </x:c>
      <x:c r="C378" t="inlineStr">
        <x:is>
          <x:t xml:space="preserve">Вратарь</x:t>
        </x:is>
      </x:c>
      <x:c r="D378" t="inlineStr">
        <x:is>
          <x:t xml:space="preserve">Да</x:t>
        </x:is>
      </x:c>
      <x:c r="E378" t="inlineStr">
        <x:is>
          <x:t xml:space="preserve">https://www.sports.ru/hockey/club/shakhtar-soligorsk/team/</x:t>
        </x:is>
      </x:c>
    </x:row>
    <x:row r="379">
      <x:c r="A379" t="inlineStr">
        <x:is>
          <x:t xml:space="preserve">Игорь Брикун</x:t>
        </x:is>
      </x:c>
      <x:c r="B379" t="inlineStr">
        <x:is>
          <x:t xml:space="preserve">Шахтер</x:t>
        </x:is>
      </x:c>
      <x:c r="C379" t="inlineStr">
        <x:is>
          <x:t xml:space="preserve">Вратарь</x:t>
        </x:is>
      </x:c>
      <x:c r="D379" t="inlineStr">
        <x:is>
          <x:t xml:space="preserve">Да</x:t>
        </x:is>
      </x:c>
      <x:c r="E379" t="inlineStr">
        <x:is>
          <x:t xml:space="preserve">https://www.sports.ru/hockey/club/shakhtar-soligorsk/team/</x:t>
        </x:is>
      </x:c>
    </x:row>
    <x:row r="380">
      <x:c r="A380" t="inlineStr">
        <x:is>
          <x:t xml:space="preserve">Илья Степанов</x:t>
        </x:is>
      </x:c>
      <x:c r="B380" t="inlineStr">
        <x:is>
          <x:t xml:space="preserve">Шахтер</x:t>
        </x:is>
      </x:c>
      <x:c r="C380" t="inlineStr">
        <x:is>
          <x:t xml:space="preserve">Вратарь</x:t>
        </x:is>
      </x:c>
      <x:c r="D380" t="inlineStr">
        <x:is>
          <x:t xml:space="preserve">Да</x:t>
        </x:is>
      </x:c>
      <x:c r="E380" t="inlineStr">
        <x:is>
          <x:t xml:space="preserve">https://www.sports.ru/hockey/club/shakhtar-soligorsk/team/</x:t>
        </x:is>
      </x:c>
    </x:row>
    <x:row r="381">
      <x:c r="A381" t="inlineStr">
        <x:is>
          <x:t xml:space="preserve">Александр Еронов</x:t>
        </x:is>
      </x:c>
      <x:c r="B381" t="inlineStr">
        <x:is>
          <x:t xml:space="preserve">Шахтер</x:t>
        </x:is>
      </x:c>
      <x:c r="C381" t="inlineStr">
        <x:is>
          <x:t xml:space="preserve">Защитник</x:t>
        </x:is>
      </x:c>
      <x:c r="D381" t="inlineStr">
        <x:is>
          <x:t xml:space="preserve">Да</x:t>
        </x:is>
      </x:c>
      <x:c r="E381" t="inlineStr">
        <x:is>
          <x:t xml:space="preserve">https://www.sports.ru/hockey/club/shakhtar-soligorsk/team/</x:t>
        </x:is>
      </x:c>
    </x:row>
    <x:row r="382">
      <x:c r="A382" t="inlineStr">
        <x:is>
          <x:t xml:space="preserve">Алексей Костерев</x:t>
        </x:is>
      </x:c>
      <x:c r="B382" t="inlineStr">
        <x:is>
          <x:t xml:space="preserve">Шахтер</x:t>
        </x:is>
      </x:c>
      <x:c r="C382" t="inlineStr">
        <x:is>
          <x:t xml:space="preserve">Защитник</x:t>
        </x:is>
      </x:c>
      <x:c r="D382" t="inlineStr">
        <x:is>
          <x:t xml:space="preserve">Да</x:t>
        </x:is>
      </x:c>
      <x:c r="E382" t="inlineStr">
        <x:is>
          <x:t xml:space="preserve">https://www.sports.ru/hockey/club/shakhtar-soligorsk/team/</x:t>
        </x:is>
      </x:c>
    </x:row>
    <x:row r="383">
      <x:c r="A383" t="inlineStr">
        <x:is>
          <x:t xml:space="preserve">Арсений Сазанович</x:t>
        </x:is>
      </x:c>
      <x:c r="B383" t="inlineStr">
        <x:is>
          <x:t xml:space="preserve">Шахтер</x:t>
        </x:is>
      </x:c>
      <x:c r="C383" t="inlineStr">
        <x:is>
          <x:t xml:space="preserve">Защитник</x:t>
        </x:is>
      </x:c>
      <x:c r="D383" t="inlineStr">
        <x:is>
          <x:t xml:space="preserve">Да</x:t>
        </x:is>
      </x:c>
      <x:c r="E383" t="inlineStr">
        <x:is>
          <x:t xml:space="preserve">https://www.sports.ru/hockey/club/shakhtar-soligorsk/team/</x:t>
        </x:is>
      </x:c>
    </x:row>
    <x:row r="384">
      <x:c r="A384" t="inlineStr">
        <x:is>
          <x:t xml:space="preserve">Дмитрий Заламай</x:t>
        </x:is>
      </x:c>
      <x:c r="B384" t="inlineStr">
        <x:is>
          <x:t xml:space="preserve">Шахтер</x:t>
        </x:is>
      </x:c>
      <x:c r="C384" t="inlineStr">
        <x:is>
          <x:t xml:space="preserve">Защитник</x:t>
        </x:is>
      </x:c>
      <x:c r="D384" t="inlineStr">
        <x:is>
          <x:t xml:space="preserve">Да</x:t>
        </x:is>
      </x:c>
      <x:c r="E384" t="inlineStr">
        <x:is>
          <x:t xml:space="preserve">https://www.sports.ru/hockey/club/shakhtar-soligorsk/team/</x:t>
        </x:is>
      </x:c>
    </x:row>
    <x:row r="385">
      <x:c r="A385" t="inlineStr">
        <x:is>
          <x:t xml:space="preserve">Илья Казнадей</x:t>
        </x:is>
      </x:c>
      <x:c r="B385" t="inlineStr">
        <x:is>
          <x:t xml:space="preserve">Шахтер</x:t>
        </x:is>
      </x:c>
      <x:c r="C385" t="inlineStr">
        <x:is>
          <x:t xml:space="preserve">Защитник</x:t>
        </x:is>
      </x:c>
      <x:c r="D385" t="inlineStr">
        <x:is>
          <x:t xml:space="preserve">Да</x:t>
        </x:is>
      </x:c>
      <x:c r="E385" t="inlineStr">
        <x:is>
          <x:t xml:space="preserve">https://www.sports.ru/hockey/club/shakhtar-soligorsk/team/</x:t>
        </x:is>
      </x:c>
    </x:row>
    <x:row r="386">
      <x:c r="A386" t="inlineStr">
        <x:is>
          <x:t xml:space="preserve">Роман Дюков</x:t>
        </x:is>
      </x:c>
      <x:c r="B386" t="inlineStr">
        <x:is>
          <x:t xml:space="preserve">Шахтер</x:t>
        </x:is>
      </x:c>
      <x:c r="C386" t="inlineStr">
        <x:is>
          <x:t xml:space="preserve">Защитник</x:t>
        </x:is>
      </x:c>
      <x:c r="D386" t="inlineStr">
        <x:is>
          <x:t xml:space="preserve">Да</x:t>
        </x:is>
      </x:c>
      <x:c r="E386" t="inlineStr">
        <x:is>
          <x:t xml:space="preserve">https://www.sports.ru/hockey/club/shakhtar-soligorsk/team/</x:t>
        </x:is>
      </x:c>
    </x:row>
    <x:row r="387">
      <x:c r="A387" t="inlineStr">
        <x:is>
          <x:t xml:space="preserve">Сергей Станкевич</x:t>
        </x:is>
      </x:c>
      <x:c r="B387" t="inlineStr">
        <x:is>
          <x:t xml:space="preserve">Шахтер</x:t>
        </x:is>
      </x:c>
      <x:c r="C387" t="inlineStr">
        <x:is>
          <x:t xml:space="preserve">Защитник</x:t>
        </x:is>
      </x:c>
      <x:c r="D387" t="inlineStr">
        <x:is>
          <x:t xml:space="preserve">Да</x:t>
        </x:is>
      </x:c>
      <x:c r="E387" t="inlineStr">
        <x:is>
          <x:t xml:space="preserve">https://www.sports.ru/hockey/club/shakhtar-soligorsk/team/</x:t>
        </x:is>
      </x:c>
    </x:row>
    <x:row r="388">
      <x:c r="A388" t="inlineStr">
        <x:is>
          <x:t xml:space="preserve">Александр Жидких</x:t>
        </x:is>
      </x:c>
      <x:c r="B388" t="inlineStr">
        <x:is>
          <x:t xml:space="preserve">Шахтер</x:t>
        </x:is>
      </x:c>
      <x:c r="C388" t="inlineStr">
        <x:is>
          <x:t xml:space="preserve">Нападающий</x:t>
        </x:is>
      </x:c>
      <x:c r="D388" t="inlineStr">
        <x:is>
          <x:t xml:space="preserve">Да</x:t>
        </x:is>
      </x:c>
      <x:c r="E388" t="inlineStr">
        <x:is>
          <x:t xml:space="preserve">https://www.sports.ru/hockey/club/shakhtar-soligorsk/team/</x:t>
        </x:is>
      </x:c>
    </x:row>
    <x:row r="389">
      <x:c r="A389" t="inlineStr">
        <x:is>
          <x:t xml:space="preserve">Александр Когалев</x:t>
        </x:is>
      </x:c>
      <x:c r="B389" t="inlineStr">
        <x:is>
          <x:t xml:space="preserve">Шахтер</x:t>
        </x:is>
      </x:c>
      <x:c r="C389" t="inlineStr">
        <x:is>
          <x:t xml:space="preserve">Нападающий</x:t>
        </x:is>
      </x:c>
      <x:c r="D389" t="inlineStr">
        <x:is>
          <x:t xml:space="preserve">Да</x:t>
        </x:is>
      </x:c>
      <x:c r="E389" t="inlineStr">
        <x:is>
          <x:t xml:space="preserve">https://www.sports.ru/hockey/club/shakhtar-soligorsk/team/</x:t>
        </x:is>
      </x:c>
    </x:row>
    <x:row r="390">
      <x:c r="A390" t="inlineStr">
        <x:is>
          <x:t xml:space="preserve">Андрей Галушкин</x:t>
        </x:is>
      </x:c>
      <x:c r="B390" t="inlineStr">
        <x:is>
          <x:t xml:space="preserve">Шахтер</x:t>
        </x:is>
      </x:c>
      <x:c r="C390" t="inlineStr">
        <x:is>
          <x:t xml:space="preserve">Нападающий</x:t>
        </x:is>
      </x:c>
      <x:c r="D390" t="inlineStr">
        <x:is>
          <x:t xml:space="preserve">Да</x:t>
        </x:is>
      </x:c>
      <x:c r="E390" t="inlineStr">
        <x:is>
          <x:t xml:space="preserve">https://www.sports.ru/hockey/club/shakhtar-soligorsk/team/</x:t>
        </x:is>
      </x:c>
    </x:row>
    <x:row r="391">
      <x:c r="A391" t="inlineStr">
        <x:is>
          <x:t xml:space="preserve">Андрей Феклистов</x:t>
        </x:is>
      </x:c>
      <x:c r="B391" t="inlineStr">
        <x:is>
          <x:t xml:space="preserve">Шахтер</x:t>
        </x:is>
      </x:c>
      <x:c r="C391" t="inlineStr">
        <x:is>
          <x:t xml:space="preserve">Нападающий</x:t>
        </x:is>
      </x:c>
      <x:c r="D391" t="inlineStr">
        <x:is>
          <x:t xml:space="preserve">Да</x:t>
        </x:is>
      </x:c>
      <x:c r="E391" t="inlineStr">
        <x:is>
          <x:t xml:space="preserve">https://www.sports.ru/hockey/club/shakhtar-soligorsk/team/</x:t>
        </x:is>
      </x:c>
    </x:row>
    <x:row r="392">
      <x:c r="A392" t="inlineStr">
        <x:is>
          <x:t xml:space="preserve">Богдан Хамицевич</x:t>
        </x:is>
      </x:c>
      <x:c r="B392" t="inlineStr">
        <x:is>
          <x:t xml:space="preserve">Шахтер</x:t>
        </x:is>
      </x:c>
      <x:c r="C392" t="inlineStr">
        <x:is>
          <x:t xml:space="preserve">Нападающий</x:t>
        </x:is>
      </x:c>
      <x:c r="D392" t="inlineStr">
        <x:is>
          <x:t xml:space="preserve">Да</x:t>
        </x:is>
      </x:c>
      <x:c r="E392" t="inlineStr">
        <x:is>
          <x:t xml:space="preserve">https://www.sports.ru/hockey/club/shakhtar-soligorsk/team/</x:t>
        </x:is>
      </x:c>
    </x:row>
    <x:row r="393">
      <x:c r="A393" t="inlineStr">
        <x:is>
          <x:t xml:space="preserve">Валентин Разумняк</x:t>
        </x:is>
      </x:c>
      <x:c r="B393" t="inlineStr">
        <x:is>
          <x:t xml:space="preserve">Шахтер</x:t>
        </x:is>
      </x:c>
      <x:c r="C393" t="inlineStr">
        <x:is>
          <x:t xml:space="preserve">Нападающий</x:t>
        </x:is>
      </x:c>
      <x:c r="D393" t="inlineStr">
        <x:is>
          <x:t xml:space="preserve">Да</x:t>
        </x:is>
      </x:c>
      <x:c r="E393" t="inlineStr">
        <x:is>
          <x:t xml:space="preserve">https://www.sports.ru/hockey/club/shakhtar-soligorsk/team/</x:t>
        </x:is>
      </x:c>
    </x:row>
    <x:row r="394">
      <x:c r="A394" t="inlineStr">
        <x:is>
          <x:t xml:space="preserve">Владислав Герасимов</x:t>
        </x:is>
      </x:c>
      <x:c r="B394" t="inlineStr">
        <x:is>
          <x:t xml:space="preserve">Шахтер</x:t>
        </x:is>
      </x:c>
      <x:c r="C394" t="inlineStr">
        <x:is>
          <x:t xml:space="preserve">Нападающий</x:t>
        </x:is>
      </x:c>
      <x:c r="D394" t="inlineStr">
        <x:is>
          <x:t xml:space="preserve">Да</x:t>
        </x:is>
      </x:c>
      <x:c r="E394" t="inlineStr">
        <x:is>
          <x:t xml:space="preserve">https://www.sports.ru/hockey/club/shakhtar-soligorsk/team/</x:t>
        </x:is>
      </x:c>
    </x:row>
    <x:row r="395">
      <x:c r="A395" t="inlineStr">
        <x:is>
          <x:t xml:space="preserve">Даниил Собко</x:t>
        </x:is>
      </x:c>
      <x:c r="B395" t="inlineStr">
        <x:is>
          <x:t xml:space="preserve">Шахтер</x:t>
        </x:is>
      </x:c>
      <x:c r="C395" t="inlineStr">
        <x:is>
          <x:t xml:space="preserve">Нападающий</x:t>
        </x:is>
      </x:c>
      <x:c r="D395" t="inlineStr">
        <x:is>
          <x:t xml:space="preserve">Да</x:t>
        </x:is>
      </x:c>
      <x:c r="E395" t="inlineStr">
        <x:is>
          <x:t xml:space="preserve">https://www.sports.ru/hockey/club/shakhtar-soligorsk/team/</x:t>
        </x:is>
      </x:c>
    </x:row>
    <x:row r="396">
      <x:c r="A396" t="inlineStr">
        <x:is>
          <x:t xml:space="preserve">Денис Белоусов</x:t>
        </x:is>
      </x:c>
      <x:c r="B396" t="inlineStr">
        <x:is>
          <x:t xml:space="preserve">Шахтер</x:t>
        </x:is>
      </x:c>
      <x:c r="C396" t="inlineStr">
        <x:is>
          <x:t xml:space="preserve">Нападающий</x:t>
        </x:is>
      </x:c>
      <x:c r="D396" t="inlineStr">
        <x:is>
          <x:t xml:space="preserve">Да</x:t>
        </x:is>
      </x:c>
      <x:c r="E396" t="inlineStr">
        <x:is>
          <x:t xml:space="preserve">https://www.sports.ru/hockey/club/shakhtar-soligorsk/team/</x:t>
        </x:is>
      </x:c>
    </x:row>
    <x:row r="397">
      <x:c r="A397" t="inlineStr">
        <x:is>
          <x:t xml:space="preserve">Дмитрий Пестунов</x:t>
        </x:is>
      </x:c>
      <x:c r="B397" t="inlineStr">
        <x:is>
          <x:t xml:space="preserve">Шахтер</x:t>
        </x:is>
      </x:c>
      <x:c r="C397" t="inlineStr">
        <x:is>
          <x:t xml:space="preserve">Нападающий</x:t>
        </x:is>
      </x:c>
      <x:c r="D397" t="inlineStr">
        <x:is>
          <x:t xml:space="preserve">Да</x:t>
        </x:is>
      </x:c>
      <x:c r="E397" t="inlineStr">
        <x:is>
          <x:t xml:space="preserve">https://www.sports.ru/hockey/club/shakhtar-soligorsk/team/</x:t>
        </x:is>
      </x:c>
    </x:row>
    <x:row r="398">
      <x:c r="A398" t="inlineStr">
        <x:is>
          <x:t xml:space="preserve">Евгений Фарафонтов</x:t>
        </x:is>
      </x:c>
      <x:c r="B398" t="inlineStr">
        <x:is>
          <x:t xml:space="preserve">Шахтер</x:t>
        </x:is>
      </x:c>
      <x:c r="C398" t="inlineStr">
        <x:is>
          <x:t xml:space="preserve">Нападающий</x:t>
        </x:is>
      </x:c>
      <x:c r="D398" t="inlineStr">
        <x:is>
          <x:t xml:space="preserve">Да</x:t>
        </x:is>
      </x:c>
      <x:c r="E398" t="inlineStr">
        <x:is>
          <x:t xml:space="preserve">https://www.sports.ru/hockey/club/shakhtar-soligorsk/team/</x:t>
        </x:is>
      </x:c>
    </x:row>
    <x:row r="399">
      <x:c r="A399" t="inlineStr">
        <x:is>
          <x:t xml:space="preserve">Кирилл Никулин</x:t>
        </x:is>
      </x:c>
      <x:c r="B399" t="inlineStr">
        <x:is>
          <x:t xml:space="preserve">Шахтер</x:t>
        </x:is>
      </x:c>
      <x:c r="C399" t="inlineStr">
        <x:is>
          <x:t xml:space="preserve">Нападающий</x:t>
        </x:is>
      </x:c>
      <x:c r="D399" t="inlineStr">
        <x:is>
          <x:t xml:space="preserve">Да</x:t>
        </x:is>
      </x:c>
      <x:c r="E399" t="inlineStr">
        <x:is>
          <x:t xml:space="preserve">https://www.sports.ru/hockey/club/shakhtar-soligorsk/team/</x:t>
        </x:is>
      </x:c>
    </x:row>
    <x:row r="400">
      <x:c r="A400" t="inlineStr">
        <x:is>
          <x:t xml:space="preserve">Константин Комаровский</x:t>
        </x:is>
      </x:c>
      <x:c r="B400" t="inlineStr">
        <x:is>
          <x:t xml:space="preserve">Шахтер</x:t>
        </x:is>
      </x:c>
      <x:c r="C400" t="inlineStr">
        <x:is>
          <x:t xml:space="preserve">Нападающий</x:t>
        </x:is>
      </x:c>
      <x:c r="D400" t="inlineStr">
        <x:is>
          <x:t xml:space="preserve">Да</x:t>
        </x:is>
      </x:c>
      <x:c r="E400" t="inlineStr">
        <x:is>
          <x:t xml:space="preserve">https://www.sports.ru/hockey/club/shakhtar-soligorsk/team/</x:t>
        </x:is>
      </x:c>
    </x:row>
    <x:row r="401">
      <x:c r="A401" t="inlineStr">
        <x:is>
          <x:t xml:space="preserve">Максим Трунев</x:t>
        </x:is>
      </x:c>
      <x:c r="B401" t="inlineStr">
        <x:is>
          <x:t xml:space="preserve">Шахтер</x:t>
        </x:is>
      </x:c>
      <x:c r="C401" t="inlineStr">
        <x:is>
          <x:t xml:space="preserve">Нападающий</x:t>
        </x:is>
      </x:c>
      <x:c r="D401" t="inlineStr">
        <x:is>
          <x:t xml:space="preserve">Да</x:t>
        </x:is>
      </x:c>
      <x:c r="E401" t="inlineStr">
        <x:is>
          <x:t xml:space="preserve">https://www.sports.ru/hockey/club/shakhtar-soligorsk/team/</x:t>
        </x:is>
      </x:c>
    </x:row>
    <x:row r="402">
      <x:c r="A402" t="inlineStr">
        <x:is>
          <x:t xml:space="preserve">Михаил Стефанович</x:t>
        </x:is>
      </x:c>
      <x:c r="B402" t="inlineStr">
        <x:is>
          <x:t xml:space="preserve">Шахтер</x:t>
        </x:is>
      </x:c>
      <x:c r="C402" t="inlineStr">
        <x:is>
          <x:t xml:space="preserve">Нападающий</x:t>
        </x:is>
      </x:c>
      <x:c r="D402" t="inlineStr">
        <x:is>
          <x:t xml:space="preserve">Да</x:t>
        </x:is>
      </x:c>
      <x:c r="E402" t="inlineStr">
        <x:is>
          <x:t xml:space="preserve">https://www.sports.ru/hockey/club/shakhtar-soligorsk/team/</x:t>
        </x:is>
      </x:c>
    </x:row>
    <x:row r="403">
      <x:c r="A403" t="inlineStr">
        <x:is>
          <x:t xml:space="preserve">Михей Новик</x:t>
        </x:is>
      </x:c>
      <x:c r="B403" t="inlineStr">
        <x:is>
          <x:t xml:space="preserve">Шахтер</x:t>
        </x:is>
      </x:c>
      <x:c r="C403" t="inlineStr">
        <x:is>
          <x:t xml:space="preserve">Нападающий</x:t>
        </x:is>
      </x:c>
      <x:c r="D403" t="inlineStr">
        <x:is>
          <x:t xml:space="preserve">Да</x:t>
        </x:is>
      </x:c>
      <x:c r="E403" t="inlineStr">
        <x:is>
          <x:t xml:space="preserve">https://www.sports.ru/hockey/club/shakhtar-soligorsk/team/</x:t>
        </x:is>
      </x:c>
    </x:row>
    <x:row r="404">
      <x:c r="A404" t="inlineStr">
        <x:is>
          <x:t xml:space="preserve">Никита Трубицин</x:t>
        </x:is>
      </x:c>
      <x:c r="B404" t="inlineStr">
        <x:is>
          <x:t xml:space="preserve">Шахтер</x:t>
        </x:is>
      </x:c>
      <x:c r="C404" t="inlineStr">
        <x:is>
          <x:t xml:space="preserve">Нападающий</x:t>
        </x:is>
      </x:c>
      <x:c r="D404" t="inlineStr">
        <x:is>
          <x:t xml:space="preserve">Да</x:t>
        </x:is>
      </x:c>
      <x:c r="E404" t="inlineStr">
        <x:is>
          <x:t xml:space="preserve">https://www.sports.ru/hockey/club/shakhtar-soligorsk/team/</x:t>
        </x:is>
      </x:c>
    </x:row>
    <x:row r="405">
      <x:c r="A405" t="inlineStr">
        <x:is>
          <x:t xml:space="preserve">Павел Чернов</x:t>
        </x:is>
      </x:c>
      <x:c r="B405" t="inlineStr">
        <x:is>
          <x:t xml:space="preserve">Шахтер</x:t>
        </x:is>
      </x:c>
      <x:c r="C405" t="inlineStr">
        <x:is>
          <x:t xml:space="preserve">Нападающий</x:t>
        </x:is>
      </x:c>
      <x:c r="D405" t="inlineStr">
        <x:is>
          <x:t xml:space="preserve">Да</x:t>
        </x:is>
      </x:c>
      <x:c r="E405" t="inlineStr">
        <x:is>
          <x:t xml:space="preserve">https://www.sports.ru/hockey/club/shakhtar-soligorsk/team/</x:t>
        </x:is>
      </x:c>
    </x:row>
    <x:row r="406">
      <x:c r="A406" t="inlineStr">
        <x:is>
          <x:t xml:space="preserve">Роман Малиновский</x:t>
        </x:is>
      </x:c>
      <x:c r="B406" t="inlineStr">
        <x:is>
          <x:t xml:space="preserve">Шахтер</x:t>
        </x:is>
      </x:c>
      <x:c r="C406" t="inlineStr">
        <x:is>
          <x:t xml:space="preserve">Нападающий</x:t>
        </x:is>
      </x:c>
      <x:c r="D406" t="inlineStr">
        <x:is>
          <x:t xml:space="preserve">Да</x:t>
        </x:is>
      </x:c>
      <x:c r="E406" t="inlineStr">
        <x:is>
          <x:t xml:space="preserve">https://www.sports.ru/hockey/club/shakhtar-soligorsk/team/</x:t>
        </x:is>
      </x:c>
    </x:row>
    <x:row r="407">
      <x:c r="A407" t="inlineStr">
        <x:is>
          <x:t xml:space="preserve">Леонид Фомин</x:t>
        </x:is>
      </x:c>
      <x:c r="B407" t="inlineStr">
        <x:is>
          <x:t xml:space="preserve">Юность</x:t>
        </x:is>
      </x:c>
      <x:c r="C407" t="inlineStr">
        <x:is>
          <x:t xml:space="preserve">Вратарь</x:t>
        </x:is>
      </x:c>
      <x:c r="D407" t="inlineStr">
        <x:is>
          <x:t xml:space="preserve">Да</x:t>
        </x:is>
      </x:c>
      <x:c r="E407" t="inlineStr">
        <x:is>
          <x:t xml:space="preserve">https://www.sports.ru/hockey/club/yunost-minsk/team/</x:t>
        </x:is>
      </x:c>
    </x:row>
    <x:row r="408">
      <x:c r="A408" t="inlineStr">
        <x:is>
          <x:t xml:space="preserve">Максим Журавский</x:t>
        </x:is>
      </x:c>
      <x:c r="B408" t="inlineStr">
        <x:is>
          <x:t xml:space="preserve">Юность</x:t>
        </x:is>
      </x:c>
      <x:c r="C408" t="inlineStr">
        <x:is>
          <x:t xml:space="preserve">Вратарь</x:t>
        </x:is>
      </x:c>
      <x:c r="D408" t="inlineStr">
        <x:is>
          <x:t xml:space="preserve">Да</x:t>
        </x:is>
      </x:c>
      <x:c r="E408" t="inlineStr">
        <x:is>
          <x:t xml:space="preserve">https://www.sports.ru/hockey/club/yunost-minsk/team/</x:t>
        </x:is>
      </x:c>
    </x:row>
    <x:row r="409">
      <x:c r="A409" t="inlineStr">
        <x:is>
          <x:t xml:space="preserve">Ростислав Зиновенко</x:t>
        </x:is>
      </x:c>
      <x:c r="B409" t="inlineStr">
        <x:is>
          <x:t xml:space="preserve">Юность</x:t>
        </x:is>
      </x:c>
      <x:c r="C409" t="inlineStr">
        <x:is>
          <x:t xml:space="preserve">Вратарь</x:t>
        </x:is>
      </x:c>
      <x:c r="D409" t="inlineStr">
        <x:is>
          <x:t xml:space="preserve">Да</x:t>
        </x:is>
      </x:c>
      <x:c r="E409" t="inlineStr">
        <x:is>
          <x:t xml:space="preserve">https://www.sports.ru/hockey/club/yunost-minsk/team/</x:t>
        </x:is>
      </x:c>
    </x:row>
    <x:row r="410">
      <x:c r="A410" t="inlineStr">
        <x:is>
          <x:t xml:space="preserve">Сергей Большаков</x:t>
        </x:is>
      </x:c>
      <x:c r="B410" t="inlineStr">
        <x:is>
          <x:t xml:space="preserve">Юность</x:t>
        </x:is>
      </x:c>
      <x:c r="C410" t="inlineStr">
        <x:is>
          <x:t xml:space="preserve">Вратарь</x:t>
        </x:is>
      </x:c>
      <x:c r="D410" t="inlineStr">
        <x:is>
          <x:t xml:space="preserve">Да</x:t>
        </x:is>
      </x:c>
      <x:c r="E410" t="inlineStr">
        <x:is>
          <x:t xml:space="preserve">https://www.sports.ru/hockey/club/yunost-minsk/team/</x:t>
        </x:is>
      </x:c>
    </x:row>
    <x:row r="411">
      <x:c r="A411" t="inlineStr">
        <x:is>
          <x:t xml:space="preserve">Алексей Виноградов</x:t>
        </x:is>
      </x:c>
      <x:c r="B411" t="inlineStr">
        <x:is>
          <x:t xml:space="preserve">Юность</x:t>
        </x:is>
      </x:c>
      <x:c r="C411" t="inlineStr">
        <x:is>
          <x:t xml:space="preserve">Защитник</x:t>
        </x:is>
      </x:c>
      <x:c r="D411" t="inlineStr">
        <x:is>
          <x:t xml:space="preserve">Да</x:t>
        </x:is>
      </x:c>
      <x:c r="E411" t="inlineStr">
        <x:is>
          <x:t xml:space="preserve">https://www.sports.ru/hockey/club/yunost-minsk/team/</x:t>
        </x:is>
      </x:c>
    </x:row>
    <x:row r="412">
      <x:c r="A412" t="inlineStr">
        <x:is>
          <x:t xml:space="preserve">Андрей Антонов</x:t>
        </x:is>
      </x:c>
      <x:c r="B412" t="inlineStr">
        <x:is>
          <x:t xml:space="preserve">Юность</x:t>
        </x:is>
      </x:c>
      <x:c r="C412" t="inlineStr">
        <x:is>
          <x:t xml:space="preserve">Защитник</x:t>
        </x:is>
      </x:c>
      <x:c r="D412" t="inlineStr">
        <x:is>
          <x:t xml:space="preserve">Да</x:t>
        </x:is>
      </x:c>
      <x:c r="E412" t="inlineStr">
        <x:is>
          <x:t xml:space="preserve">https://www.sports.ru/hockey/club/yunost-minsk/team/</x:t>
        </x:is>
      </x:c>
    </x:row>
    <x:row r="413">
      <x:c r="A413" t="inlineStr">
        <x:is>
          <x:t xml:space="preserve">Андрей Гостев</x:t>
        </x:is>
      </x:c>
      <x:c r="B413" t="inlineStr">
        <x:is>
          <x:t xml:space="preserve">Юность</x:t>
        </x:is>
      </x:c>
      <x:c r="C413" t="inlineStr">
        <x:is>
          <x:t xml:space="preserve">Защитник</x:t>
        </x:is>
      </x:c>
      <x:c r="D413" t="inlineStr">
        <x:is>
          <x:t xml:space="preserve">Да</x:t>
        </x:is>
      </x:c>
      <x:c r="E413" t="inlineStr">
        <x:is>
          <x:t xml:space="preserve">https://www.sports.ru/hockey/club/yunost-minsk/team/</x:t>
        </x:is>
      </x:c>
    </x:row>
    <x:row r="414">
      <x:c r="A414" t="inlineStr">
        <x:is>
          <x:t xml:space="preserve">Антон Седов</x:t>
        </x:is>
      </x:c>
      <x:c r="B414" t="inlineStr">
        <x:is>
          <x:t xml:space="preserve">Юность</x:t>
        </x:is>
      </x:c>
      <x:c r="C414" t="inlineStr">
        <x:is>
          <x:t xml:space="preserve">Защитник</x:t>
        </x:is>
      </x:c>
      <x:c r="D414" t="inlineStr">
        <x:is>
          <x:t xml:space="preserve">Да</x:t>
        </x:is>
      </x:c>
      <x:c r="E414" t="inlineStr">
        <x:is>
          <x:t xml:space="preserve">https://www.sports.ru/hockey/club/yunost-minsk/team/</x:t>
        </x:is>
      </x:c>
    </x:row>
    <x:row r="415">
      <x:c r="A415" t="inlineStr">
        <x:is>
          <x:t xml:space="preserve">Артем Лесников</x:t>
        </x:is>
      </x:c>
      <x:c r="B415" t="inlineStr">
        <x:is>
          <x:t xml:space="preserve">Юность</x:t>
        </x:is>
      </x:c>
      <x:c r="C415" t="inlineStr">
        <x:is>
          <x:t xml:space="preserve">Защитник</x:t>
        </x:is>
      </x:c>
      <x:c r="D415" t="inlineStr">
        <x:is>
          <x:t xml:space="preserve">Да</x:t>
        </x:is>
      </x:c>
      <x:c r="E415" t="inlineStr">
        <x:is>
          <x:t xml:space="preserve">https://www.sports.ru/hockey/club/yunost-minsk/team/</x:t>
        </x:is>
      </x:c>
    </x:row>
    <x:row r="416">
      <x:c r="A416" t="inlineStr">
        <x:is>
          <x:t xml:space="preserve">Вадим Щечин</x:t>
        </x:is>
      </x:c>
      <x:c r="B416" t="inlineStr">
        <x:is>
          <x:t xml:space="preserve">Юность</x:t>
        </x:is>
      </x:c>
      <x:c r="C416" t="inlineStr">
        <x:is>
          <x:t xml:space="preserve">Защитник</x:t>
        </x:is>
      </x:c>
      <x:c r="D416" t="inlineStr">
        <x:is>
          <x:t xml:space="preserve">Да</x:t>
        </x:is>
      </x:c>
      <x:c r="E416" t="inlineStr">
        <x:is>
          <x:t xml:space="preserve">https://www.sports.ru/hockey/club/yunost-minsk/team/</x:t>
        </x:is>
      </x:c>
    </x:row>
    <x:row r="417">
      <x:c r="A417" t="inlineStr">
        <x:is>
          <x:t xml:space="preserve">Владислав Барковский</x:t>
        </x:is>
      </x:c>
      <x:c r="B417" t="inlineStr">
        <x:is>
          <x:t xml:space="preserve">Юность</x:t>
        </x:is>
      </x:c>
      <x:c r="C417" t="inlineStr">
        <x:is>
          <x:t xml:space="preserve">Защитник</x:t>
        </x:is>
      </x:c>
      <x:c r="D417" t="inlineStr">
        <x:is>
          <x:t xml:space="preserve">Да</x:t>
        </x:is>
      </x:c>
      <x:c r="E417" t="inlineStr">
        <x:is>
          <x:t xml:space="preserve">https://www.sports.ru/hockey/club/yunost-minsk/team/</x:t>
        </x:is>
      </x:c>
    </x:row>
    <x:row r="418">
      <x:c r="A418" t="inlineStr">
        <x:is>
          <x:t xml:space="preserve">Георгий Василенко</x:t>
        </x:is>
      </x:c>
      <x:c r="B418" t="inlineStr">
        <x:is>
          <x:t xml:space="preserve">Юность</x:t>
        </x:is>
      </x:c>
      <x:c r="C418" t="inlineStr">
        <x:is>
          <x:t xml:space="preserve">Защитник</x:t>
        </x:is>
      </x:c>
      <x:c r="D418" t="inlineStr">
        <x:is>
          <x:t xml:space="preserve">Да</x:t>
        </x:is>
      </x:c>
      <x:c r="E418" t="inlineStr">
        <x:is>
          <x:t xml:space="preserve">https://www.sports.ru/hockey/club/yunost-minsk/team/</x:t>
        </x:is>
      </x:c>
    </x:row>
    <x:row r="419">
      <x:c r="A419" t="inlineStr">
        <x:is>
          <x:t xml:space="preserve">Денис Радченко</x:t>
        </x:is>
      </x:c>
      <x:c r="B419" t="inlineStr">
        <x:is>
          <x:t xml:space="preserve">Юность</x:t>
        </x:is>
      </x:c>
      <x:c r="C419" t="inlineStr">
        <x:is>
          <x:t xml:space="preserve">Защитник</x:t>
        </x:is>
      </x:c>
      <x:c r="D419" t="inlineStr">
        <x:is>
          <x:t xml:space="preserve">Да</x:t>
        </x:is>
      </x:c>
      <x:c r="E419" t="inlineStr">
        <x:is>
          <x:t xml:space="preserve">https://www.sports.ru/hockey/club/yunost-minsk/team/</x:t>
        </x:is>
      </x:c>
    </x:row>
    <x:row r="420">
      <x:c r="A420" t="inlineStr">
        <x:is>
          <x:t xml:space="preserve">Дмитрий Возовик</x:t>
        </x:is>
      </x:c>
      <x:c r="B420" t="inlineStr">
        <x:is>
          <x:t xml:space="preserve">Юность</x:t>
        </x:is>
      </x:c>
      <x:c r="C420" t="inlineStr">
        <x:is>
          <x:t xml:space="preserve">Защитник</x:t>
        </x:is>
      </x:c>
      <x:c r="D420" t="inlineStr">
        <x:is>
          <x:t xml:space="preserve">Да</x:t>
        </x:is>
      </x:c>
      <x:c r="E420" t="inlineStr">
        <x:is>
          <x:t xml:space="preserve">https://www.sports.ru/hockey/club/yunost-minsk/team/</x:t>
        </x:is>
      </x:c>
    </x:row>
    <x:row r="421">
      <x:c r="A421" t="inlineStr">
        <x:is>
          <x:t xml:space="preserve">Роман Достанко</x:t>
        </x:is>
      </x:c>
      <x:c r="B421" t="inlineStr">
        <x:is>
          <x:t xml:space="preserve">Юность</x:t>
        </x:is>
      </x:c>
      <x:c r="C421" t="inlineStr">
        <x:is>
          <x:t xml:space="preserve">Защитник</x:t>
        </x:is>
      </x:c>
      <x:c r="D421" t="inlineStr">
        <x:is>
          <x:t xml:space="preserve">Да</x:t>
        </x:is>
      </x:c>
      <x:c r="E421" t="inlineStr">
        <x:is>
          <x:t xml:space="preserve">https://www.sports.ru/hockey/club/yunost-minsk/team/</x:t>
        </x:is>
      </x:c>
    </x:row>
    <x:row r="422">
      <x:c r="A422" t="inlineStr">
        <x:is>
          <x:t xml:space="preserve">Александр Китаров</x:t>
        </x:is>
      </x:c>
      <x:c r="B422" t="inlineStr">
        <x:is>
          <x:t xml:space="preserve">Юность</x:t>
        </x:is>
      </x:c>
      <x:c r="C422" t="inlineStr">
        <x:is>
          <x:t xml:space="preserve">Нападающий</x:t>
        </x:is>
      </x:c>
      <x:c r="D422" t="inlineStr">
        <x:is>
          <x:t xml:space="preserve">Да</x:t>
        </x:is>
      </x:c>
      <x:c r="E422" t="inlineStr">
        <x:is>
          <x:t xml:space="preserve">https://www.sports.ru/hockey/club/yunost-minsk/team/</x:t>
        </x:is>
      </x:c>
    </x:row>
    <x:row r="423">
      <x:c r="A423" t="inlineStr">
        <x:is>
          <x:t xml:space="preserve">Александр Павлович</x:t>
        </x:is>
      </x:c>
      <x:c r="B423" t="inlineStr">
        <x:is>
          <x:t xml:space="preserve">Юность</x:t>
        </x:is>
      </x:c>
      <x:c r="C423" t="inlineStr">
        <x:is>
          <x:t xml:space="preserve">Нападающий</x:t>
        </x:is>
      </x:c>
      <x:c r="D423" t="inlineStr">
        <x:is>
          <x:t xml:space="preserve">Да</x:t>
        </x:is>
      </x:c>
      <x:c r="E423" t="inlineStr">
        <x:is>
          <x:t xml:space="preserve">https://www.sports.ru/hockey/club/yunost-minsk/team/</x:t>
        </x:is>
      </x:c>
    </x:row>
    <x:row r="424">
      <x:c r="A424" t="inlineStr">
        <x:is>
          <x:t xml:space="preserve">Александр Пальчик</x:t>
        </x:is>
      </x:c>
      <x:c r="B424" t="inlineStr">
        <x:is>
          <x:t xml:space="preserve">Юность</x:t>
        </x:is>
      </x:c>
      <x:c r="C424" t="inlineStr">
        <x:is>
          <x:t xml:space="preserve">Нападающий</x:t>
        </x:is>
      </x:c>
      <x:c r="D424" t="inlineStr">
        <x:is>
          <x:t xml:space="preserve">Да</x:t>
        </x:is>
      </x:c>
      <x:c r="E424" t="inlineStr">
        <x:is>
          <x:t xml:space="preserve">https://www.sports.ru/hockey/club/yunost-minsk/team/</x:t>
        </x:is>
      </x:c>
    </x:row>
    <x:row r="425">
      <x:c r="A425" t="inlineStr">
        <x:is>
          <x:t xml:space="preserve">Андрей Павленко</x:t>
        </x:is>
      </x:c>
      <x:c r="B425" t="inlineStr">
        <x:is>
          <x:t xml:space="preserve">Юность</x:t>
        </x:is>
      </x:c>
      <x:c r="C425" t="inlineStr">
        <x:is>
          <x:t xml:space="preserve">Нападающий</x:t>
        </x:is>
      </x:c>
      <x:c r="D425" t="inlineStr">
        <x:is>
          <x:t xml:space="preserve">Да</x:t>
        </x:is>
      </x:c>
      <x:c r="E425" t="inlineStr">
        <x:is>
          <x:t xml:space="preserve">https://www.sports.ru/hockey/club/yunost-minsk/team/</x:t>
        </x:is>
      </x:c>
    </x:row>
    <x:row r="426">
      <x:c r="A426" t="inlineStr">
        <x:is>
          <x:t xml:space="preserve">Артем Казарян</x:t>
        </x:is>
      </x:c>
      <x:c r="B426" t="inlineStr">
        <x:is>
          <x:t xml:space="preserve">Юность</x:t>
        </x:is>
      </x:c>
      <x:c r="C426" t="inlineStr">
        <x:is>
          <x:t xml:space="preserve">Нападающий</x:t>
        </x:is>
      </x:c>
      <x:c r="D426" t="inlineStr">
        <x:is>
          <x:t xml:space="preserve">Да</x:t>
        </x:is>
      </x:c>
      <x:c r="E426" t="inlineStr">
        <x:is>
          <x:t xml:space="preserve">https://www.sports.ru/hockey/club/yunost-minsk/team/</x:t>
        </x:is>
      </x:c>
    </x:row>
    <x:row r="427">
      <x:c r="A427" t="inlineStr">
        <x:is>
          <x:t xml:space="preserve">Аслан Раисов</x:t>
        </x:is>
      </x:c>
      <x:c r="B427" t="inlineStr">
        <x:is>
          <x:t xml:space="preserve">Юность</x:t>
        </x:is>
      </x:c>
      <x:c r="C427" t="inlineStr">
        <x:is>
          <x:t xml:space="preserve">Нападающий</x:t>
        </x:is>
      </x:c>
      <x:c r="D427" t="inlineStr">
        <x:is>
          <x:t xml:space="preserve">Да</x:t>
        </x:is>
      </x:c>
      <x:c r="E427" t="inlineStr">
        <x:is>
          <x:t xml:space="preserve">https://www.sports.ru/hockey/club/yunost-minsk/team/</x:t>
        </x:is>
      </x:c>
    </x:row>
    <x:row r="428">
      <x:c r="A428" t="inlineStr">
        <x:is>
          <x:t xml:space="preserve">Владимир Ровба</x:t>
        </x:is>
      </x:c>
      <x:c r="B428" t="inlineStr">
        <x:is>
          <x:t xml:space="preserve">Юность</x:t>
        </x:is>
      </x:c>
      <x:c r="C428" t="inlineStr">
        <x:is>
          <x:t xml:space="preserve">Нападающий</x:t>
        </x:is>
      </x:c>
      <x:c r="D428" t="inlineStr">
        <x:is>
          <x:t xml:space="preserve">Да</x:t>
        </x:is>
      </x:c>
      <x:c r="E428" t="inlineStr">
        <x:is>
          <x:t xml:space="preserve">https://www.sports.ru/hockey/club/yunost-minsk/team/</x:t>
        </x:is>
      </x:c>
    </x:row>
    <x:row r="429">
      <x:c r="A429" t="inlineStr">
        <x:is>
          <x:t xml:space="preserve">Всеволод Кашкар</x:t>
        </x:is>
      </x:c>
      <x:c r="B429" t="inlineStr">
        <x:is>
          <x:t xml:space="preserve">Юность</x:t>
        </x:is>
      </x:c>
      <x:c r="C429" t="inlineStr">
        <x:is>
          <x:t xml:space="preserve">Нападающий</x:t>
        </x:is>
      </x:c>
      <x:c r="D429" t="inlineStr">
        <x:is>
          <x:t xml:space="preserve">Да</x:t>
        </x:is>
      </x:c>
      <x:c r="E429" t="inlineStr">
        <x:is>
          <x:t xml:space="preserve">https://www.sports.ru/hockey/club/yunost-minsk/team/</x:t>
        </x:is>
      </x:c>
    </x:row>
    <x:row r="430">
      <x:c r="A430" t="inlineStr">
        <x:is>
          <x:t xml:space="preserve">Вячеслав Андрющенко</x:t>
        </x:is>
      </x:c>
      <x:c r="B430" t="inlineStr">
        <x:is>
          <x:t xml:space="preserve">Юность</x:t>
        </x:is>
      </x:c>
      <x:c r="C430" t="inlineStr">
        <x:is>
          <x:t xml:space="preserve">Нападающий</x:t>
        </x:is>
      </x:c>
      <x:c r="D430" t="inlineStr">
        <x:is>
          <x:t xml:space="preserve">Да</x:t>
        </x:is>
      </x:c>
      <x:c r="E430" t="inlineStr">
        <x:is>
          <x:t xml:space="preserve">https://www.sports.ru/hockey/club/yunost-minsk/team/</x:t>
        </x:is>
      </x:c>
    </x:row>
    <x:row r="431">
      <x:c r="A431" t="inlineStr">
        <x:is>
          <x:t xml:space="preserve">Герман Пироговский</x:t>
        </x:is>
      </x:c>
      <x:c r="B431" t="inlineStr">
        <x:is>
          <x:t xml:space="preserve">Юность</x:t>
        </x:is>
      </x:c>
      <x:c r="C431" t="inlineStr">
        <x:is>
          <x:t xml:space="preserve">Нападающий</x:t>
        </x:is>
      </x:c>
      <x:c r="D431" t="inlineStr">
        <x:is>
          <x:t xml:space="preserve">Да</x:t>
        </x:is>
      </x:c>
      <x:c r="E431" t="inlineStr">
        <x:is>
          <x:t xml:space="preserve">https://www.sports.ru/hockey/club/yunost-minsk/team/</x:t>
        </x:is>
      </x:c>
    </x:row>
    <x:row r="432">
      <x:c r="A432" t="inlineStr">
        <x:is>
          <x:t xml:space="preserve">Дмитрий Арсенюк</x:t>
        </x:is>
      </x:c>
      <x:c r="B432" t="inlineStr">
        <x:is>
          <x:t xml:space="preserve">Юность</x:t>
        </x:is>
      </x:c>
      <x:c r="C432" t="inlineStr">
        <x:is>
          <x:t xml:space="preserve">Нападающий</x:t>
        </x:is>
      </x:c>
      <x:c r="D432" t="inlineStr">
        <x:is>
          <x:t xml:space="preserve">Да</x:t>
        </x:is>
      </x:c>
      <x:c r="E432" t="inlineStr">
        <x:is>
          <x:t xml:space="preserve">https://www.sports.ru/hockey/club/yunost-minsk/team/</x:t>
        </x:is>
      </x:c>
    </x:row>
    <x:row r="433">
      <x:c r="A433" t="inlineStr">
        <x:is>
          <x:t xml:space="preserve">Егор Гайнетдинов</x:t>
        </x:is>
      </x:c>
      <x:c r="B433" t="inlineStr">
        <x:is>
          <x:t xml:space="preserve">Юность</x:t>
        </x:is>
      </x:c>
      <x:c r="C433" t="inlineStr">
        <x:is>
          <x:t xml:space="preserve">Нападающий</x:t>
        </x:is>
      </x:c>
      <x:c r="D433" t="inlineStr">
        <x:is>
          <x:t xml:space="preserve">Да</x:t>
        </x:is>
      </x:c>
      <x:c r="E433" t="inlineStr">
        <x:is>
          <x:t xml:space="preserve">https://www.sports.ru/hockey/club/yunost-minsk/team/</x:t>
        </x:is>
      </x:c>
    </x:row>
    <x:row r="434">
      <x:c r="A434" t="inlineStr">
        <x:is>
          <x:t xml:space="preserve">Егор Дугин</x:t>
        </x:is>
      </x:c>
      <x:c r="B434" t="inlineStr">
        <x:is>
          <x:t xml:space="preserve">Юность</x:t>
        </x:is>
      </x:c>
      <x:c r="C434" t="inlineStr">
        <x:is>
          <x:t xml:space="preserve">Нападающий</x:t>
        </x:is>
      </x:c>
      <x:c r="D434" t="inlineStr">
        <x:is>
          <x:t xml:space="preserve">Да</x:t>
        </x:is>
      </x:c>
      <x:c r="E434" t="inlineStr">
        <x:is>
          <x:t xml:space="preserve">https://www.sports.ru/hockey/club/yunost-minsk/team/</x:t>
        </x:is>
      </x:c>
    </x:row>
    <x:row r="435">
      <x:c r="A435" t="inlineStr">
        <x:is>
          <x:t xml:space="preserve">Иван Середа</x:t>
        </x:is>
      </x:c>
      <x:c r="B435" t="inlineStr">
        <x:is>
          <x:t xml:space="preserve">Юность</x:t>
        </x:is>
      </x:c>
      <x:c r="C435" t="inlineStr">
        <x:is>
          <x:t xml:space="preserve">Нападающий</x:t>
        </x:is>
      </x:c>
      <x:c r="D435" t="inlineStr">
        <x:is>
          <x:t xml:space="preserve">Да</x:t>
        </x:is>
      </x:c>
      <x:c r="E435" t="inlineStr">
        <x:is>
          <x:t xml:space="preserve">https://www.sports.ru/hockey/club/yunost-minsk/team/</x:t>
        </x:is>
      </x:c>
    </x:row>
    <x:row r="436">
      <x:c r="A436" t="inlineStr">
        <x:is>
          <x:t xml:space="preserve">Иван Фищенко</x:t>
        </x:is>
      </x:c>
      <x:c r="B436" t="inlineStr">
        <x:is>
          <x:t xml:space="preserve">Юность</x:t>
        </x:is>
      </x:c>
      <x:c r="C436" t="inlineStr">
        <x:is>
          <x:t xml:space="preserve">Нападающий</x:t>
        </x:is>
      </x:c>
      <x:c r="D436" t="inlineStr">
        <x:is>
          <x:t xml:space="preserve">Да</x:t>
        </x:is>
      </x:c>
      <x:c r="E436" t="inlineStr">
        <x:is>
          <x:t xml:space="preserve">https://www.sports.ru/hockey/club/yunost-minsk/team/</x:t>
        </x:is>
      </x:c>
    </x:row>
    <x:row r="437">
      <x:c r="A437" t="inlineStr">
        <x:is>
          <x:t xml:space="preserve">Кирилл Брикун</x:t>
        </x:is>
      </x:c>
      <x:c r="B437" t="inlineStr">
        <x:is>
          <x:t xml:space="preserve">Юность</x:t>
        </x:is>
      </x:c>
      <x:c r="C437" t="inlineStr">
        <x:is>
          <x:t xml:space="preserve">Нападающий</x:t>
        </x:is>
      </x:c>
      <x:c r="D437" t="inlineStr">
        <x:is>
          <x:t xml:space="preserve">Да</x:t>
        </x:is>
      </x:c>
      <x:c r="E437" t="inlineStr">
        <x:is>
          <x:t xml:space="preserve">https://www.sports.ru/hockey/club/yunost-minsk/team/</x:t>
        </x:is>
      </x:c>
    </x:row>
    <x:row r="438">
      <x:c r="A438" t="inlineStr">
        <x:is>
          <x:t xml:space="preserve">Никита Беспалов</x:t>
        </x:is>
      </x:c>
      <x:c r="B438" t="inlineStr">
        <x:is>
          <x:t xml:space="preserve">Юность</x:t>
        </x:is>
      </x:c>
      <x:c r="C438" t="inlineStr">
        <x:is>
          <x:t xml:space="preserve">Нападающий</x:t>
        </x:is>
      </x:c>
      <x:c r="D438" t="inlineStr">
        <x:is>
          <x:t xml:space="preserve">Да</x:t>
        </x:is>
      </x:c>
      <x:c r="E438" t="inlineStr">
        <x:is>
          <x:t xml:space="preserve">https://www.sports.ru/hockey/club/yunost-minsk/team/</x:t>
        </x:is>
      </x:c>
    </x:row>
    <x:row r="439">
      <x:c r="A439" t="inlineStr">
        <x:is>
          <x:t xml:space="preserve">Сергей Демагин</x:t>
        </x:is>
      </x:c>
      <x:c r="B439" t="inlineStr">
        <x:is>
          <x:t xml:space="preserve">Юность</x:t>
        </x:is>
      </x:c>
      <x:c r="C439" t="inlineStr">
        <x:is>
          <x:t xml:space="preserve">Нападающий</x:t>
        </x:is>
      </x:c>
      <x:c r="D439" t="inlineStr">
        <x:is>
          <x:t xml:space="preserve">Да</x:t>
        </x:is>
      </x:c>
      <x:c r="E439" t="inlineStr">
        <x:is>
          <x:t xml:space="preserve">https://www.sports.ru/hockey/club/yunost-minsk/team/</x:t>
        </x:is>
      </x:c>
    </x:row>
    <x:row r="440">
      <x:c r="A440" t="inlineStr">
        <x:is>
          <x:t xml:space="preserve">Сергей Дрозд</x:t>
        </x:is>
      </x:c>
      <x:c r="B440" t="inlineStr">
        <x:is>
          <x:t xml:space="preserve">Юность</x:t>
        </x:is>
      </x:c>
      <x:c r="C440" t="inlineStr">
        <x:is>
          <x:t xml:space="preserve">Нападающий</x:t>
        </x:is>
      </x:c>
      <x:c r="D440" t="inlineStr">
        <x:is>
          <x:t xml:space="preserve">Да</x:t>
        </x:is>
      </x:c>
      <x:c r="E440" t="inlineStr">
        <x:is>
          <x:t xml:space="preserve">https://www.sports.ru/hockey/club/yunost-minsk/team/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b12db018a274b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18" customWidth="1"/>
    <x:col min="3" max="3" width="18" customWidth="1"/>
    <x:col min="4" max="4" width="18" customWidth="1"/>
    <x:col min="5" max="5" width="26" customWidth="1"/>
  </x:cols>
  <x:sheetData>
    <x:row r="1">
      <x:c r="A1" s="58" t="inlineStr">
        <x:is>
          <x:t xml:space="preserve">Система очков V3</x:t>
        </x:is>
      </x:c>
      <x:c r="B1" s="55" t="n"/>
      <x:c r="C1" s="55" t="n"/>
      <x:c r="D1" s="55" t="n"/>
      <x:c r="E1" s="55" t="n"/>
    </x:row>
    <x:row r="2">
      <x:c r="A2" s="59" t="inlineStr">
        <x:is>
          <x:t xml:space="preserve">Эти значения используются формулами на листе InputPlayers. Меняй правила здесь, если формат лиги обновится.</x:t>
        </x:is>
      </x:c>
      <x:c r="B2" s="55" t="n"/>
      <x:c r="C2" s="55" t="n"/>
      <x:c r="D2" s="55" t="n"/>
      <x:c r="E2" s="55" t="n"/>
    </x:row>
    <x:row r="3">
      <x:c r="A3" s="55" t="n"/>
      <x:c r="B3" s="55" t="n"/>
      <x:c r="C3" s="55" t="n"/>
      <x:c r="D3" s="55" t="n"/>
      <x:c r="E3" s="55" t="n"/>
    </x:row>
    <x:row r="4">
      <x:c r="A4" s="60" t="inlineStr">
        <x:is>
          <x:t xml:space="preserve">Блок</x:t>
        </x:is>
      </x:c>
      <x:c r="B4" s="60" t="inlineStr">
        <x:is>
          <x:t xml:space="preserve">Показатель</x:t>
        </x:is>
      </x:c>
      <x:c r="C4" s="60" t="inlineStr">
        <x:is>
          <x:t xml:space="preserve">Значение</x:t>
        </x:is>
      </x:c>
      <x:c r="D4" s="60" t="inlineStr">
        <x:is>
          <x:t xml:space="preserve">Ед.</x:t>
        </x:is>
      </x:c>
      <x:c r="E4" s="60" t="inlineStr">
        <x:is>
          <x:t xml:space="preserve">Комментарий</x:t>
        </x:is>
      </x:c>
    </x:row>
    <x:row r="5">
      <x:c r="A5" t="inlineStr">
        <x:is>
          <x:t xml:space="preserve">Полевые</x:t>
        </x:is>
      </x:c>
      <x:c r="B5" t="inlineStr">
        <x:is>
          <x:t xml:space="preserve">Гол</x:t>
        </x:is>
      </x:c>
      <x:c r="C5" t="n">
        <x:v>1</x:v>
      </x:c>
      <x:c r="D5" t="inlineStr">
        <x:is>
          <x:t xml:space="preserve">очко</x:t>
        </x:is>
      </x:c>
      <x:c r="E5" t="inlineStr">
        <x:is>
          <x:t xml:space="preserve">1 очко за каждый гол</x:t>
        </x:is>
      </x:c>
    </x:row>
    <x:row r="6">
      <x:c r="A6" t="inlineStr">
        <x:is>
          <x:t xml:space="preserve">Полевые</x:t>
        </x:is>
      </x:c>
      <x:c r="B6" t="inlineStr">
        <x:is>
          <x:t xml:space="preserve">Передача</x:t>
        </x:is>
      </x:c>
      <x:c r="C6" t="n">
        <x:v>1</x:v>
      </x:c>
      <x:c r="D6" t="inlineStr">
        <x:is>
          <x:t xml:space="preserve">очко</x:t>
        </x:is>
      </x:c>
      <x:c r="E6" t="inlineStr">
        <x:is>
          <x:t xml:space="preserve">1 очко за каждую передачу</x:t>
        </x:is>
      </x:c>
    </x:row>
    <x:row r="7">
      <x:c r="A7" t="inlineStr">
        <x:is>
          <x:t xml:space="preserve">Вратарь</x:t>
        </x:is>
      </x:c>
      <x:c r="B7" t="inlineStr">
        <x:is>
          <x:t xml:space="preserve">Шатаут</x:t>
        </x:is>
      </x:c>
      <x:c r="C7" t="n">
        <x:v>3</x:v>
      </x:c>
      <x:c r="D7" t="inlineStr">
        <x:is>
          <x:t xml:space="preserve">очка</x:t>
        </x:is>
      </x:c>
      <x:c r="E7" t="inlineStr">
        <x:is>
          <x:t xml:space="preserve">Если шатаут = Да</x:t>
        </x:is>
      </x:c>
    </x:row>
    <x:row r="8">
      <x:c r="A8" t="inlineStr">
        <x:is>
          <x:t xml:space="preserve">Вратарь</x:t>
        </x:is>
      </x:c>
      <x:c r="B8" t="inlineStr">
        <x:is>
          <x:t xml:space="preserve">1 пропущенная</x:t>
        </x:is>
      </x:c>
      <x:c r="C8" t="n">
        <x:v>2</x:v>
      </x:c>
      <x:c r="D8" t="inlineStr">
        <x:is>
          <x:t xml:space="preserve">очка</x:t>
        </x:is>
      </x:c>
      <x:c r="E8" t="inlineStr">
        <x:is>
          <x:t xml:space="preserve">Если пропущено ровно 1</x:t>
        </x:is>
      </x:c>
    </x:row>
    <x:row r="9">
      <x:c r="A9" t="inlineStr">
        <x:is>
          <x:t xml:space="preserve">Вратарь</x:t>
        </x:is>
      </x:c>
      <x:c r="B9" t="inlineStr">
        <x:is>
          <x:t xml:space="preserve">2 пропущенные</x:t>
        </x:is>
      </x:c>
      <x:c r="C9" t="n">
        <x:v>1</x:v>
      </x:c>
      <x:c r="D9" t="inlineStr">
        <x:is>
          <x:t xml:space="preserve">очко</x:t>
        </x:is>
      </x:c>
      <x:c r="E9" t="inlineStr">
        <x:is>
          <x:t xml:space="preserve">Если пропущено ровно 2</x:t>
        </x:is>
      </x:c>
    </x:row>
    <x:row r="10">
      <x:c r="A10" t="inlineStr">
        <x:is>
          <x:t xml:space="preserve">Вратарь</x:t>
        </x:is>
      </x:c>
      <x:c r="B10" t="inlineStr">
        <x:is>
          <x:t xml:space="preserve">3+ пропущенные</x:t>
        </x:is>
      </x:c>
      <x:c r="C10" t="n">
        <x:v>0</x:v>
      </x:c>
      <x:c r="D10" t="inlineStr">
        <x:is>
          <x:t xml:space="preserve">очков</x:t>
        </x:is>
      </x:c>
      <x:c r="E10" t="inlineStr">
        <x:is>
          <x:t xml:space="preserve">Если пропущено 3 или больше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5" customWidth="1"/>
    <x:col min="2" max="2" width="42" customWidth="1"/>
    <x:col min="3" max="3" width="28" customWidth="1"/>
    <x:col min="4" max="4" width="18" customWidth="1"/>
  </x:cols>
  <x:sheetData>
    <x:row r="1" ht="24" customHeight="1">
      <x:c r="A1" s="34" t="inlineStr">
        <x:is>
          <x:t xml:space="preserve">Правила КосмоФентези и режимы ввода</x:t>
        </x:is>
      </x:c>
    </x:row>
    <x:row r="2">
      <x:c r="A2" s="27" t="inlineStr">
        <x:is>
          <x:t xml:space="preserve">Новые листы: BaseTotals (база), InputTours (новые туры), StageTotals (автопересчет), Participants (рейтинг).</x:t>
        </x:is>
      </x:c>
    </x:row>
    <x:row r="3">
      <x:c r="A3" s="16" t="inlineStr">
        <x:is>
          <x:t xml:space="preserve">Общие правила</x:t>
        </x:is>
      </x:c>
    </x:row>
    <x:row r="4">
      <x:c r="A4" s="17" t="inlineStr">
        <x:is>
          <x:t xml:space="preserve">• С одной команды допускается только 1 игрок. Исключение: вратарь.</x:t>
        </x:is>
      </x:c>
    </x:row>
    <x:row r="5">
      <x:c r="A5" s="17" t="inlineStr">
        <x:is>
          <x:t xml:space="preserve">• Баллы каждого игрока в составе суммируются в общее количество очков участника.</x:t>
        </x:is>
      </x:c>
    </x:row>
    <x:row r="6">
      <x:c r="A6" s="17" t="inlineStr">
        <x:is>
          <x:t xml:space="preserve">• При уходе игрока в другую лигу или завершении карьеры доступна 1 замена.</x:t>
        </x:is>
      </x:c>
    </x:row>
    <x:row r="7">
      <x:c r="A7" s="17" t="inlineStr">
        <x:is>
          <x:t xml:space="preserve">• После окончания регулярки доступны замены игроков, которые не вышли в плей-ин / плей-офф.</x:t>
        </x:is>
      </x:c>
    </x:row>
    <x:row r="8">
      <x:c r="A8" s="17" t="inlineStr">
        <x:is>
          <x:t xml:space="preserve">• По итогам фэнтези 1 месту будет приз ♥</x:t>
        </x:is>
      </x:c>
    </x:row>
    <x:row r="10">
      <x:c r="A10" s="16" t="inlineStr">
        <x:is>
          <x:t xml:space="preserve">• Новый режим V3: лист InputPlayers позволяет вносить статистику по каждому игроку.</x:t>
        </x:is>
      </x:c>
    </x:row>
    <x:row r="11">
      <x:c r="A11" t="inlineStr">
        <x:is>
          <x:t xml:space="preserve">• Очки полевых считаются как Голы + Передачи.</x:t>
        </x:is>
      </x:c>
    </x:row>
    <x:row r="12">
      <x:c r="A12" s="7" t="inlineStr">
        <x:is>
          <x:t xml:space="preserve">• Очки вратаря считаются по пропущенным шайбам / шатауту по листу Scoring.</x:t>
        </x:is>
      </x:c>
      <x:c r="B12" s="7" t="inlineStr">
        <x:is>
          <x:t xml:space="preserve">Условие</x:t>
        </x:is>
      </x:c>
      <x:c r="C12" s="7" t="inlineStr">
        <x:is>
          <x:t xml:space="preserve">Очки</x:t>
        </x:is>
      </x:c>
    </x:row>
    <x:row r="13">
      <x:c r="A13" s="18" t="inlineStr">
        <x:is>
          <x:t xml:space="preserve">• Manual Adj — ручная корректировка для бонуса, штрафа или нестандартного кейса.</x:t>
        </x:is>
      </x:c>
      <x:c r="B13" s="18" t="inlineStr">
        <x:is>
          <x:t xml:space="preserve">Шатаут</x:t>
        </x:is>
      </x:c>
      <x:c r="C13" s="18" t="n">
        <x:v>3</x:v>
      </x:c>
    </x:row>
    <x:row r="14">
      <x:c r="A14" s="19" t="inlineStr">
        <x:is>
          <x:t xml:space="preserve">• Учитывать = Нет — строка исключается из расчётов, но остаётся в журнале.</x:t>
        </x:is>
      </x:c>
      <x:c r="B14" s="19" t="inlineStr">
        <x:is>
          <x:t xml:space="preserve">Пропущена 1 шайба</x:t>
        </x:is>
      </x:c>
      <x:c r="C14" s="19" t="n">
        <x:v>2</x:v>
      </x:c>
    </x:row>
    <x:row r="15">
      <x:c r="A15" s="18" t="inlineStr">
        <x:is>
          <x:t xml:space="preserve">Вратарь</x:t>
        </x:is>
      </x:c>
      <x:c r="B15" s="18" t="inlineStr">
        <x:is>
          <x:t xml:space="preserve">Пропущено 2 шайбы</x:t>
        </x:is>
      </x:c>
      <x:c r="C15" s="18" t="n">
        <x:v>1</x:v>
      </x:c>
    </x:row>
    <x:row r="16">
      <x:c r="A16" s="19" t="inlineStr">
        <x:is>
          <x:t xml:space="preserve">Вратарь</x:t>
        </x:is>
      </x:c>
      <x:c r="B16" s="19" t="inlineStr">
        <x:is>
          <x:t xml:space="preserve">Пропущено 3+ шайб</x:t>
        </x:is>
      </x:c>
      <x:c r="C16" s="19" t="n">
        <x:v>0</x:v>
      </x:c>
    </x:row>
    <x:row r="17">
      <x:c r="A17" s="18" t="inlineStr">
        <x:is>
          <x:t xml:space="preserve">Защитник / Нападающий</x:t>
        </x:is>
      </x:c>
      <x:c r="B17" s="18" t="inlineStr">
        <x:is>
          <x:t xml:space="preserve">Классическая система гол + пас</x:t>
        </x:is>
      </x:c>
      <x:c r="C17" s="18" t="inlineStr">
        <x:is>
          <x:t xml:space="preserve">1 за каждое результативное действие</x:t>
        </x:is>
      </x:c>
    </x:row>
  </x:sheetData>
  <x:mergeCells>
    <x:mergeCell ref="A1:D1"/>
    <x:mergeCell ref="A5:D5"/>
    <x:mergeCell ref="A8:D8"/>
    <x:mergeCell ref="A6:D6"/>
    <x:mergeCell ref="A4:D4"/>
    <x:mergeCell ref="A7:D7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4" customWidth="1"/>
    <x:col min="3" max="3" width="16" customWidth="1"/>
    <x:col min="4" max="4" width="13" customWidth="1"/>
    <x:col min="5" max="5" width="24" customWidth="1"/>
    <x:col min="6" max="6" width="20" customWidth="1"/>
    <x:col min="7" max="7" width="24" customWidth="1"/>
  </x:cols>
  <x:sheetData>
    <x:row r="1" ht="24" customHeight="1">
      <x:c r="A1" s="26" t="inlineStr">
        <x:is>
          <x:t xml:space="preserve">Начальные итоги сезона (снимок из исходного файла)</x:t>
        </x:is>
      </x:c>
    </x:row>
    <x:row r="2">
      <x:c r="A2" s="35" t="inlineStr">
        <x:is>
          <x:t xml:space="preserve">Эти значения используются как база. Если будешь заносить только новые туры, ничего здесь менять не нужно.</x:t>
        </x:is>
      </x:c>
    </x:row>
    <x:row r="4">
      <x:c r="A4" s="28" t="inlineStr">
        <x:is>
          <x:t xml:space="preserve">Участник</x:t>
        </x:is>
      </x:c>
      <x:c r="B4" s="28" t="inlineStr">
        <x:is>
          <x:t xml:space="preserve">Этап</x:t>
        </x:is>
      </x:c>
      <x:c r="C4" s="28" t="inlineStr">
        <x:is>
          <x:t xml:space="preserve">Стартовые очки</x:t>
        </x:is>
      </x:c>
      <x:c r="D4" s="28" t="inlineStr">
        <x:is>
          <x:t xml:space="preserve">Срез по</x:t>
        </x:is>
      </x:c>
      <x:c r="E4" s="28" t="inlineStr">
        <x:is>
          <x:t xml:space="preserve">Последний раунд в снимке</x:t>
        </x:is>
      </x:c>
      <x:c r="F4" s="28" t="inlineStr">
        <x:is>
          <x:t xml:space="preserve">Команда участника</x:t>
        </x:is>
      </x:c>
      <x:c r="G4" s="28" t="inlineStr">
        <x:is>
          <x:t xml:space="preserve">Очки за последний тур в снимке</x:t>
        </x:is>
      </x:c>
    </x:row>
    <x:row r="5">
      <x:c r="A5" s="36" t="inlineStr">
        <x:is>
          <x:t xml:space="preserve">Женя Космос</x:t>
        </x:is>
      </x:c>
      <x:c r="B5" s="37" t="inlineStr">
        <x:is>
          <x:t xml:space="preserve">Регулярка</x:t>
        </x:is>
      </x:c>
      <x:c r="C5" s="38" t="n">
        <x:v>73</x:v>
      </x:c>
      <x:c r="D5" s="39" t="inlineStr">
        <x:is>
          <x:t xml:space="preserve">18.01.2026</x:t>
        </x:is>
      </x:c>
      <x:c r="E5" s="40" t="inlineStr">
        <x:is>
          <x:t xml:space="preserve">04.12-05.12</x:t>
        </x:is>
      </x:c>
      <x:c r="F5" s="40" t="inlineStr">
        <x:is>
          <x:t xml:space="preserve"/>
        </x:is>
      </x:c>
      <x:c r="G5" s="40" t="n">
        <x:v>8</x:v>
      </x:c>
    </x:row>
    <x:row r="6">
      <x:c r="A6" s="36" t="inlineStr">
        <x:is>
          <x:t xml:space="preserve">Александр</x:t>
        </x:is>
      </x:c>
      <x:c r="B6" s="37" t="inlineStr">
        <x:is>
          <x:t xml:space="preserve">Регулярка</x:t>
        </x:is>
      </x:c>
      <x:c r="C6" s="38" t="n">
        <x:v>57</x:v>
      </x:c>
      <x:c r="D6" s="39" t="inlineStr">
        <x:is>
          <x:t xml:space="preserve">18.01.2026</x:t>
        </x:is>
      </x:c>
      <x:c r="E6" s="40" t="inlineStr">
        <x:is>
          <x:t xml:space="preserve">04.12-05.12</x:t>
        </x:is>
      </x:c>
      <x:c r="F6" s="40" t="inlineStr">
        <x:is>
          <x:t xml:space="preserve"/>
        </x:is>
      </x:c>
      <x:c r="G6" s="40" t="n">
        <x:v>4</x:v>
      </x:c>
    </x:row>
    <x:row r="7">
      <x:c r="A7" s="36" t="inlineStr">
        <x:is>
          <x:t xml:space="preserve">КатяБет</x:t>
        </x:is>
      </x:c>
      <x:c r="B7" s="37" t="inlineStr">
        <x:is>
          <x:t xml:space="preserve">Регулярка</x:t>
        </x:is>
      </x:c>
      <x:c r="C7" s="38" t="n">
        <x:v>77</x:v>
      </x:c>
      <x:c r="D7" s="39" t="inlineStr">
        <x:is>
          <x:t xml:space="preserve">18.01.2026</x:t>
        </x:is>
      </x:c>
      <x:c r="E7" s="40" t="inlineStr">
        <x:is>
          <x:t xml:space="preserve">04.12-05.12</x:t>
        </x:is>
      </x:c>
      <x:c r="F7" s="40" t="inlineStr">
        <x:is>
          <x:t xml:space="preserve"/>
        </x:is>
      </x:c>
      <x:c r="G7" s="40" t="n">
        <x:v>9</x:v>
      </x:c>
    </x:row>
    <x:row r="8">
      <x:c r="A8" s="36" t="inlineStr">
        <x:is>
          <x:t xml:space="preserve">Яна</x:t>
        </x:is>
      </x:c>
      <x:c r="B8" s="37" t="inlineStr">
        <x:is>
          <x:t xml:space="preserve">Регулярка</x:t>
        </x:is>
      </x:c>
      <x:c r="C8" s="38" t="n">
        <x:v>66</x:v>
      </x:c>
      <x:c r="D8" s="39" t="inlineStr">
        <x:is>
          <x:t xml:space="preserve">18.01.2026</x:t>
        </x:is>
      </x:c>
      <x:c r="E8" s="40" t="inlineStr">
        <x:is>
          <x:t xml:space="preserve">04.12-05.12</x:t>
        </x:is>
      </x:c>
      <x:c r="F8" s="40" t="inlineStr">
        <x:is>
          <x:t xml:space="preserve"/>
        </x:is>
      </x:c>
      <x:c r="G8" s="40" t="n">
        <x:v>8</x:v>
      </x:c>
    </x:row>
    <x:row r="9">
      <x:c r="A9" s="36" t="inlineStr">
        <x:is>
          <x:t xml:space="preserve">Лерка</x:t>
        </x:is>
      </x:c>
      <x:c r="B9" s="37" t="inlineStr">
        <x:is>
          <x:t xml:space="preserve">Регулярка</x:t>
        </x:is>
      </x:c>
      <x:c r="C9" s="38" t="n">
        <x:v>83</x:v>
      </x:c>
      <x:c r="D9" s="39" t="inlineStr">
        <x:is>
          <x:t xml:space="preserve">18.01.2026</x:t>
        </x:is>
      </x:c>
      <x:c r="E9" s="40" t="inlineStr">
        <x:is>
          <x:t xml:space="preserve">04.12-05.12</x:t>
        </x:is>
      </x:c>
      <x:c r="F9" s="40" t="inlineStr">
        <x:is>
          <x:t xml:space="preserve"/>
        </x:is>
      </x:c>
      <x:c r="G9" s="40" t="n">
        <x:v>8</x:v>
      </x:c>
    </x:row>
    <x:row r="10">
      <x:c r="A10" s="36" t="inlineStr">
        <x:is>
          <x:t xml:space="preserve">Валера Волович</x:t>
        </x:is>
      </x:c>
      <x:c r="B10" s="37" t="inlineStr">
        <x:is>
          <x:t xml:space="preserve">Регулярка</x:t>
        </x:is>
      </x:c>
      <x:c r="C10" s="38" t="n">
        <x:v>60</x:v>
      </x:c>
      <x:c r="D10" s="39" t="inlineStr">
        <x:is>
          <x:t xml:space="preserve">18.01.2026</x:t>
        </x:is>
      </x:c>
      <x:c r="E10" s="40" t="inlineStr">
        <x:is>
          <x:t xml:space="preserve">04.12-05.12</x:t>
        </x:is>
      </x:c>
      <x:c r="F10" s="40" t="inlineStr">
        <x:is>
          <x:t xml:space="preserve"/>
        </x:is>
      </x:c>
      <x:c r="G10" s="40" t="n">
        <x:v>4</x:v>
      </x:c>
    </x:row>
    <x:row r="11">
      <x:c r="A11" s="36" t="inlineStr">
        <x:is>
          <x:t xml:space="preserve">Dasha</x:t>
        </x:is>
      </x:c>
      <x:c r="B11" s="37" t="inlineStr">
        <x:is>
          <x:t xml:space="preserve">Регулярка</x:t>
        </x:is>
      </x:c>
      <x:c r="C11" s="38" t="n">
        <x:v>60</x:v>
      </x:c>
      <x:c r="D11" s="39" t="inlineStr">
        <x:is>
          <x:t xml:space="preserve">18.01.2026</x:t>
        </x:is>
      </x:c>
      <x:c r="E11" s="40" t="inlineStr">
        <x:is>
          <x:t xml:space="preserve">04.12-05.12</x:t>
        </x:is>
      </x:c>
      <x:c r="F11" s="40" t="inlineStr">
        <x:is>
          <x:t xml:space="preserve"/>
        </x:is>
      </x:c>
      <x:c r="G11" s="40" t="n">
        <x:v>5</x:v>
      </x:c>
    </x:row>
    <x:row r="12">
      <x:c r="A12" s="36" t="inlineStr">
        <x:is>
          <x:t xml:space="preserve">Влада</x:t>
        </x:is>
      </x:c>
      <x:c r="B12" s="37" t="inlineStr">
        <x:is>
          <x:t xml:space="preserve">Регулярка</x:t>
        </x:is>
      </x:c>
      <x:c r="C12" s="38" t="n">
        <x:v>65</x:v>
      </x:c>
      <x:c r="D12" s="39" t="inlineStr">
        <x:is>
          <x:t xml:space="preserve">18.01.2026</x:t>
        </x:is>
      </x:c>
      <x:c r="E12" s="40" t="inlineStr">
        <x:is>
          <x:t xml:space="preserve">04.12-05.12</x:t>
        </x:is>
      </x:c>
      <x:c r="F12" s="40" t="inlineStr">
        <x:is>
          <x:t xml:space="preserve"/>
        </x:is>
      </x:c>
      <x:c r="G12" s="40" t="n">
        <x:v>6</x:v>
      </x:c>
    </x:row>
    <x:row r="13">
      <x:c r="A13" s="36" t="inlineStr">
        <x:is>
          <x:t xml:space="preserve">Андрей</x:t>
        </x:is>
      </x:c>
      <x:c r="B13" s="37" t="inlineStr">
        <x:is>
          <x:t xml:space="preserve">Регулярка</x:t>
        </x:is>
      </x:c>
      <x:c r="C13" s="38" t="n">
        <x:v>62</x:v>
      </x:c>
      <x:c r="D13" s="39" t="inlineStr">
        <x:is>
          <x:t xml:space="preserve">18.01.2026</x:t>
        </x:is>
      </x:c>
      <x:c r="E13" s="40" t="inlineStr">
        <x:is>
          <x:t xml:space="preserve">04.12-05.12</x:t>
        </x:is>
      </x:c>
      <x:c r="F13" s="40" t="inlineStr">
        <x:is>
          <x:t xml:space="preserve"/>
        </x:is>
      </x:c>
      <x:c r="G13" s="40" t="n">
        <x:v>5</x:v>
      </x:c>
    </x:row>
    <x:row r="14">
      <x:c r="A14" s="36" t="inlineStr">
        <x:is>
          <x:t xml:space="preserve">Александр Свиридов</x:t>
        </x:is>
      </x:c>
      <x:c r="B14" s="37" t="inlineStr">
        <x:is>
          <x:t xml:space="preserve">Регулярка</x:t>
        </x:is>
      </x:c>
      <x:c r="C14" s="38" t="n">
        <x:v>37</x:v>
      </x:c>
      <x:c r="D14" s="39" t="inlineStr">
        <x:is>
          <x:t xml:space="preserve">18.01.2026</x:t>
        </x:is>
      </x:c>
      <x:c r="E14" s="40" t="inlineStr">
        <x:is>
          <x:t xml:space="preserve">04.12-05.12</x:t>
        </x:is>
      </x:c>
      <x:c r="F14" s="40" t="inlineStr">
        <x:is>
          <x:t xml:space="preserve"/>
        </x:is>
      </x:c>
      <x:c r="G14" s="40" t="n">
        <x:v>2</x:v>
      </x:c>
    </x:row>
    <x:row r="15">
      <x:c r="A15" s="36" t="inlineStr">
        <x:is>
          <x:t xml:space="preserve">Надюша</x:t>
        </x:is>
      </x:c>
      <x:c r="B15" s="37" t="inlineStr">
        <x:is>
          <x:t xml:space="preserve">Регулярка</x:t>
        </x:is>
      </x:c>
      <x:c r="C15" s="38" t="n">
        <x:v>66</x:v>
      </x:c>
      <x:c r="D15" s="39" t="inlineStr">
        <x:is>
          <x:t xml:space="preserve">18.01.2026</x:t>
        </x:is>
      </x:c>
      <x:c r="E15" s="40" t="inlineStr">
        <x:is>
          <x:t xml:space="preserve">04.12-05.12</x:t>
        </x:is>
      </x:c>
      <x:c r="F15" s="40" t="inlineStr">
        <x:is>
          <x:t xml:space="preserve"/>
        </x:is>
      </x:c>
      <x:c r="G15" s="40" t="n">
        <x:v>8</x:v>
      </x:c>
    </x:row>
    <x:row r="16">
      <x:c r="A16" s="36" t="inlineStr">
        <x:is>
          <x:t xml:space="preserve">Катюша</x:t>
        </x:is>
      </x:c>
      <x:c r="B16" s="37" t="inlineStr">
        <x:is>
          <x:t xml:space="preserve">Регулярка</x:t>
        </x:is>
      </x:c>
      <x:c r="C16" s="38" t="n">
        <x:v>80</x:v>
      </x:c>
      <x:c r="D16" s="39" t="inlineStr">
        <x:is>
          <x:t xml:space="preserve">18.01.2026</x:t>
        </x:is>
      </x:c>
      <x:c r="E16" s="40" t="inlineStr">
        <x:is>
          <x:t xml:space="preserve">04.12-05.12</x:t>
        </x:is>
      </x:c>
      <x:c r="F16" s="40" t="inlineStr">
        <x:is>
          <x:t xml:space="preserve"/>
        </x:is>
      </x:c>
      <x:c r="G16" s="40" t="n">
        <x:v>13</x:v>
      </x:c>
    </x:row>
    <x:row r="17">
      <x:c r="A17" s="36" t="inlineStr">
        <x:is>
          <x:t xml:space="preserve">Жека</x:t>
        </x:is>
      </x:c>
      <x:c r="B17" s="37" t="inlineStr">
        <x:is>
          <x:t xml:space="preserve">Регулярка</x:t>
        </x:is>
      </x:c>
      <x:c r="C17" s="38" t="n">
        <x:v>87</x:v>
      </x:c>
      <x:c r="D17" s="39" t="inlineStr">
        <x:is>
          <x:t xml:space="preserve">18.01.2026</x:t>
        </x:is>
      </x:c>
      <x:c r="E17" s="40" t="inlineStr">
        <x:is>
          <x:t xml:space="preserve">04.12-05.12</x:t>
        </x:is>
      </x:c>
      <x:c r="F17" s="40" t="inlineStr">
        <x:is>
          <x:t xml:space="preserve"/>
        </x:is>
      </x:c>
      <x:c r="G17" s="40" t="n">
        <x:v>4</x:v>
      </x:c>
    </x:row>
    <x:row r="18">
      <x:c r="A18" s="36" t="inlineStr">
        <x:is>
          <x:t xml:space="preserve">Алексей</x:t>
        </x:is>
      </x:c>
      <x:c r="B18" s="37" t="inlineStr">
        <x:is>
          <x:t xml:space="preserve">Регулярка</x:t>
        </x:is>
      </x:c>
      <x:c r="C18" s="38" t="n">
        <x:v>86</x:v>
      </x:c>
      <x:c r="D18" s="39" t="inlineStr">
        <x:is>
          <x:t xml:space="preserve">18.01.2026</x:t>
        </x:is>
      </x:c>
      <x:c r="E18" s="40" t="inlineStr">
        <x:is>
          <x:t xml:space="preserve">04.12-05.12</x:t>
        </x:is>
      </x:c>
      <x:c r="F18" s="40" t="inlineStr">
        <x:is>
          <x:t xml:space="preserve"/>
        </x:is>
      </x:c>
      <x:c r="G18" s="40" t="n">
        <x:v>11</x:v>
      </x:c>
    </x:row>
    <x:row r="19">
      <x:c r="A19" s="36" t="inlineStr">
        <x:is>
          <x:t xml:space="preserve">Женя Космос</x:t>
        </x:is>
      </x:c>
      <x:c r="B19" s="37" t="inlineStr">
        <x:is>
          <x:t xml:space="preserve">Плей-ин/ПО</x:t>
        </x:is>
      </x:c>
      <x:c r="C19" s="38" t="n">
        <x:v>44</x:v>
      </x:c>
      <x:c r="D19" s="39" t="inlineStr">
        <x:is>
          <x:t xml:space="preserve">16.04.2026</x:t>
        </x:is>
      </x:c>
      <x:c r="E19" s="40" t="inlineStr">
        <x:is>
          <x:t xml:space="preserve">04.12-05.12</x:t>
        </x:is>
      </x:c>
      <x:c r="F19" s="40" t="inlineStr">
        <x:is>
          <x:t xml:space="preserve">Витебск</x:t>
        </x:is>
      </x:c>
      <x:c r="G19" s="40" t="n">
        <x:v>4</x:v>
      </x:c>
    </x:row>
    <x:row r="20">
      <x:c r="A20" s="36" t="inlineStr">
        <x:is>
          <x:t xml:space="preserve">Александр</x:t>
        </x:is>
      </x:c>
      <x:c r="B20" s="37" t="inlineStr">
        <x:is>
          <x:t xml:space="preserve">Плей-ин/ПО</x:t>
        </x:is>
      </x:c>
      <x:c r="C20" s="38" t="n">
        <x:v>55</x:v>
      </x:c>
      <x:c r="D20" s="39" t="inlineStr">
        <x:is>
          <x:t xml:space="preserve">16.04.2026</x:t>
        </x:is>
      </x:c>
      <x:c r="E20" s="40" t="inlineStr">
        <x:is>
          <x:t xml:space="preserve">04.12-05.12</x:t>
        </x:is>
      </x:c>
      <x:c r="F20" s="40" t="inlineStr">
        <x:is>
          <x:t xml:space="preserve">Металлург</x:t>
        </x:is>
      </x:c>
      <x:c r="G20" s="40" t="n">
        <x:v>3</x:v>
      </x:c>
    </x:row>
    <x:row r="21">
      <x:c r="A21" s="36" t="inlineStr">
        <x:is>
          <x:t xml:space="preserve">КатяБет</x:t>
        </x:is>
      </x:c>
      <x:c r="B21" s="37" t="inlineStr">
        <x:is>
          <x:t xml:space="preserve">Плей-ин/ПО</x:t>
        </x:is>
      </x:c>
      <x:c r="C21" s="38" t="n">
        <x:v>46</x:v>
      </x:c>
      <x:c r="D21" s="39" t="inlineStr">
        <x:is>
          <x:t xml:space="preserve">16.04.2026</x:t>
        </x:is>
      </x:c>
      <x:c r="E21" s="40" t="inlineStr">
        <x:is>
          <x:t xml:space="preserve">04.12-05.12</x:t>
        </x:is>
      </x:c>
      <x:c r="F21" s="40" t="inlineStr">
        <x:is>
          <x:t xml:space="preserve">Витебск</x:t>
        </x:is>
      </x:c>
      <x:c r="G21" s="40" t="n">
        <x:v>3</x:v>
      </x:c>
    </x:row>
    <x:row r="22">
      <x:c r="A22" s="36" t="inlineStr">
        <x:is>
          <x:t xml:space="preserve">Яна</x:t>
        </x:is>
      </x:c>
      <x:c r="B22" s="37" t="inlineStr">
        <x:is>
          <x:t xml:space="preserve">Плей-ин/ПО</x:t>
        </x:is>
      </x:c>
      <x:c r="C22" s="38" t="n">
        <x:v>22</x:v>
      </x:c>
      <x:c r="D22" s="39" t="inlineStr">
        <x:is>
          <x:t xml:space="preserve">16.04.2026</x:t>
        </x:is>
      </x:c>
      <x:c r="E22" s="40" t="inlineStr">
        <x:is>
          <x:t xml:space="preserve">04.12-05.12</x:t>
        </x:is>
      </x:c>
      <x:c r="F22" s="40" t="inlineStr">
        <x:is>
          <x:t xml:space="preserve">Брест</x:t>
        </x:is>
      </x:c>
      <x:c r="G22" s="40" t="n">
        <x:v>3</x:v>
      </x:c>
    </x:row>
    <x:row r="23">
      <x:c r="A23" s="36" t="inlineStr">
        <x:is>
          <x:t xml:space="preserve">Лерка</x:t>
        </x:is>
      </x:c>
      <x:c r="B23" s="37" t="inlineStr">
        <x:is>
          <x:t xml:space="preserve">Плей-ин/ПО</x:t>
        </x:is>
      </x:c>
      <x:c r="C23" s="38" t="n">
        <x:v>59</x:v>
      </x:c>
      <x:c r="D23" s="39" t="inlineStr">
        <x:is>
          <x:t xml:space="preserve">16.04.2026</x:t>
        </x:is>
      </x:c>
      <x:c r="E23" s="40" t="inlineStr">
        <x:is>
          <x:t xml:space="preserve">04.12-05.12</x:t>
        </x:is>
      </x:c>
      <x:c r="F23" s="40" t="inlineStr">
        <x:is>
          <x:t xml:space="preserve">Шахтер</x:t>
        </x:is>
      </x:c>
      <x:c r="G23" s="40" t="n">
        <x:v>6</x:v>
      </x:c>
    </x:row>
    <x:row r="24">
      <x:c r="A24" s="36" t="inlineStr">
        <x:is>
          <x:t xml:space="preserve">Валера Волович</x:t>
        </x:is>
      </x:c>
      <x:c r="B24" s="37" t="inlineStr">
        <x:is>
          <x:t xml:space="preserve">Плей-ин/ПО</x:t>
        </x:is>
      </x:c>
      <x:c r="C24" s="38" t="n">
        <x:v>10</x:v>
      </x:c>
      <x:c r="D24" s="39" t="inlineStr">
        <x:is>
          <x:t xml:space="preserve">16.04.2026</x:t>
        </x:is>
      </x:c>
      <x:c r="E24" s="40" t="inlineStr">
        <x:is>
          <x:t xml:space="preserve">04.12-05.12</x:t>
        </x:is>
      </x:c>
      <x:c r="F24" s="40" t="inlineStr">
        <x:is>
          <x:t xml:space="preserve"/>
        </x:is>
      </x:c>
      <x:c r="G24" s="40" t="n">
        <x:v>0</x:v>
      </x:c>
    </x:row>
    <x:row r="25">
      <x:c r="A25" s="36" t="inlineStr">
        <x:is>
          <x:t xml:space="preserve">Dasha</x:t>
        </x:is>
      </x:c>
      <x:c r="B25" s="37" t="inlineStr">
        <x:is>
          <x:t xml:space="preserve">Плей-ин/ПО</x:t>
        </x:is>
      </x:c>
      <x:c r="C25" s="38" t="n">
        <x:v>18</x:v>
      </x:c>
      <x:c r="D25" s="39" t="inlineStr">
        <x:is>
          <x:t xml:space="preserve">16.04.2026</x:t>
        </x:is>
      </x:c>
      <x:c r="E25" s="40" t="inlineStr">
        <x:is>
          <x:t xml:space="preserve">04.12-05.12</x:t>
        </x:is>
      </x:c>
      <x:c r="F25" s="40" t="inlineStr">
        <x:is>
          <x:t xml:space="preserve"/>
        </x:is>
      </x:c>
      <x:c r="G25" s="40" t="n">
        <x:v>0</x:v>
      </x:c>
    </x:row>
    <x:row r="26">
      <x:c r="A26" s="36" t="inlineStr">
        <x:is>
          <x:t xml:space="preserve">Влада</x:t>
        </x:is>
      </x:c>
      <x:c r="B26" s="37" t="inlineStr">
        <x:is>
          <x:t xml:space="preserve">Плей-ин/ПО</x:t>
        </x:is>
      </x:c>
      <x:c r="C26" s="38" t="n">
        <x:v>45</x:v>
      </x:c>
      <x:c r="D26" s="39" t="inlineStr">
        <x:is>
          <x:t xml:space="preserve">16.04.2026</x:t>
        </x:is>
      </x:c>
      <x:c r="E26" s="40" t="inlineStr">
        <x:is>
          <x:t xml:space="preserve">04.12-05.12</x:t>
        </x:is>
      </x:c>
      <x:c r="F26" s="40" t="inlineStr">
        <x:is>
          <x:t xml:space="preserve">Шахтер</x:t>
        </x:is>
      </x:c>
      <x:c r="G26" s="40" t="n">
        <x:v>6</x:v>
      </x:c>
    </x:row>
    <x:row r="27">
      <x:c r="A27" s="36" t="inlineStr">
        <x:is>
          <x:t xml:space="preserve">Андрей</x:t>
        </x:is>
      </x:c>
      <x:c r="B27" s="37" t="inlineStr">
        <x:is>
          <x:t xml:space="preserve">Плей-ин/ПО</x:t>
        </x:is>
      </x:c>
      <x:c r="C27" s="38" t="n">
        <x:v>16</x:v>
      </x:c>
      <x:c r="D27" s="39" t="inlineStr">
        <x:is>
          <x:t xml:space="preserve">16.04.2026</x:t>
        </x:is>
      </x:c>
      <x:c r="E27" s="40" t="inlineStr">
        <x:is>
          <x:t xml:space="preserve">04.12-05.12</x:t>
        </x:is>
      </x:c>
      <x:c r="F27" s="40" t="inlineStr">
        <x:is>
          <x:t xml:space="preserve"/>
        </x:is>
      </x:c>
      <x:c r="G27" s="40" t="n">
        <x:v>1</x:v>
      </x:c>
    </x:row>
    <x:row r="28">
      <x:c r="A28" s="36" t="inlineStr">
        <x:is>
          <x:t xml:space="preserve">Александр Свиридов</x:t>
        </x:is>
      </x:c>
      <x:c r="B28" s="37" t="inlineStr">
        <x:is>
          <x:t xml:space="preserve">Плей-ин/ПО</x:t>
        </x:is>
      </x:c>
      <x:c r="C28" s="38" t="n">
        <x:v>21</x:v>
      </x:c>
      <x:c r="D28" s="39" t="inlineStr">
        <x:is>
          <x:t xml:space="preserve">16.04.2026</x:t>
        </x:is>
      </x:c>
      <x:c r="E28" s="40" t="inlineStr">
        <x:is>
          <x:t xml:space="preserve">04.12-05.12</x:t>
        </x:is>
      </x:c>
      <x:c r="F28" s="40" t="inlineStr">
        <x:is>
          <x:t xml:space="preserve">Юность-Минск</x:t>
        </x:is>
      </x:c>
      <x:c r="G28" s="40" t="n">
        <x:v>1</x:v>
      </x:c>
    </x:row>
    <x:row r="29">
      <x:c r="A29" s="36" t="inlineStr">
        <x:is>
          <x:t xml:space="preserve">Надюша</x:t>
        </x:is>
      </x:c>
      <x:c r="B29" s="37" t="inlineStr">
        <x:is>
          <x:t xml:space="preserve">Плей-ин/ПО</x:t>
        </x:is>
      </x:c>
      <x:c r="C29" s="38" t="n">
        <x:v>53</x:v>
      </x:c>
      <x:c r="D29" s="39" t="inlineStr">
        <x:is>
          <x:t xml:space="preserve">16.04.2026</x:t>
        </x:is>
      </x:c>
      <x:c r="E29" s="40" t="inlineStr">
        <x:is>
          <x:t xml:space="preserve">04.12-05.12</x:t>
        </x:is>
      </x:c>
      <x:c r="F29" s="40" t="inlineStr">
        <x:is>
          <x:t xml:space="preserve">Шахтер</x:t>
        </x:is>
      </x:c>
      <x:c r="G29" s="40" t="n">
        <x:v>6</x:v>
      </x:c>
    </x:row>
    <x:row r="30">
      <x:c r="A30" s="36" t="inlineStr">
        <x:is>
          <x:t xml:space="preserve">Катюша</x:t>
        </x:is>
      </x:c>
      <x:c r="B30" s="37" t="inlineStr">
        <x:is>
          <x:t xml:space="preserve">Плей-ин/ПО</x:t>
        </x:is>
      </x:c>
      <x:c r="C30" s="38" t="n">
        <x:v>51</x:v>
      </x:c>
      <x:c r="D30" s="39" t="inlineStr">
        <x:is>
          <x:t xml:space="preserve">16.04.2026</x:t>
        </x:is>
      </x:c>
      <x:c r="E30" s="40" t="inlineStr">
        <x:is>
          <x:t xml:space="preserve">04.12-05.12</x:t>
        </x:is>
      </x:c>
      <x:c r="F30" s="40" t="inlineStr">
        <x:is>
          <x:t xml:space="preserve">Витебск</x:t>
        </x:is>
      </x:c>
      <x:c r="G30" s="40" t="n">
        <x:v>1</x:v>
      </x:c>
    </x:row>
    <x:row r="31">
      <x:c r="A31" s="36" t="inlineStr">
        <x:is>
          <x:t xml:space="preserve">Жека</x:t>
        </x:is>
      </x:c>
      <x:c r="B31" s="37" t="inlineStr">
        <x:is>
          <x:t xml:space="preserve">Плей-ин/ПО</x:t>
        </x:is>
      </x:c>
      <x:c r="C31" s="38" t="n">
        <x:v>56</x:v>
      </x:c>
      <x:c r="D31" s="39" t="inlineStr">
        <x:is>
          <x:t xml:space="preserve">16.04.2026</x:t>
        </x:is>
      </x:c>
      <x:c r="E31" s="40" t="inlineStr">
        <x:is>
          <x:t xml:space="preserve">04.12-05.12</x:t>
        </x:is>
      </x:c>
      <x:c r="F31" s="40" t="inlineStr">
        <x:is>
          <x:t xml:space="preserve"/>
        </x:is>
      </x:c>
      <x:c r="G31" s="40" t="n">
        <x:v>6</x:v>
      </x:c>
    </x:row>
    <x:row r="32">
      <x:c r="A32" s="36" t="inlineStr">
        <x:is>
          <x:t xml:space="preserve">Алексей</x:t>
        </x:is>
      </x:c>
      <x:c r="B32" s="37" t="inlineStr">
        <x:is>
          <x:t xml:space="preserve">Плей-ин/ПО</x:t>
        </x:is>
      </x:c>
      <x:c r="C32" s="38" t="n">
        <x:v>45</x:v>
      </x:c>
      <x:c r="D32" s="39" t="inlineStr">
        <x:is>
          <x:t xml:space="preserve">16.04.2026</x:t>
        </x:is>
      </x:c>
      <x:c r="E32" s="40" t="inlineStr">
        <x:is>
          <x:t xml:space="preserve">04.12-05.12</x:t>
        </x:is>
      </x:c>
      <x:c r="F32" s="40" t="inlineStr">
        <x:is>
          <x:t xml:space="preserve"/>
        </x:is>
      </x:c>
      <x:c r="G32" s="40" t="n">
        <x:v>6</x:v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4" customWidth="1"/>
    <x:col min="3" max="3" width="16" customWidth="1"/>
    <x:col min="4" max="4" width="22" customWidth="1"/>
    <x:col min="5" max="5" width="18" customWidth="1"/>
    <x:col min="6" max="6" width="22" customWidth="1"/>
    <x:col min="7" max="7" width="16" customWidth="1"/>
    <x:col min="8" max="8" width="14" customWidth="1"/>
    <x:col min="9" max="9" width="10" customWidth="1"/>
    <x:col min="10" max="10" width="10" customWidth="1"/>
    <x:col min="11" max="11" width="14" customWidth="1"/>
    <x:col min="12" max="12" width="10" customWidth="1"/>
    <x:col min="13" max="13" width="12" customWidth="1"/>
    <x:col min="14" max="14" width="14" customWidth="1"/>
    <x:col min="15" max="15" width="16" customWidth="1"/>
    <x:col min="16" max="16" width="22" customWidth="1"/>
  </x:cols>
  <x:sheetData>
    <x:row r="1">
      <x:c r="A1" s="55" t="inlineStr">
        <x:is>
          <x:t xml:space="preserve">Ввод по игрокам (V3)</x:t>
        </x:is>
      </x:c>
      <x:c r="B1" s="55" t="n"/>
      <x:c r="C1" s="55" t="n"/>
      <x:c r="D1" s="55" t="n"/>
      <x:c r="E1" s="55" t="n"/>
      <x:c r="F1" s="55" t="n"/>
      <x:c r="G1" s="55" t="n"/>
      <x:c r="H1" s="55" t="n"/>
      <x:c r="I1" s="55" t="n"/>
      <x:c r="J1" s="55" t="n"/>
      <x:c r="K1" s="55" t="n"/>
      <x:c r="L1" s="55" t="n"/>
      <x:c r="M1" s="55" t="n"/>
      <x:c r="N1" s="55" t="n"/>
      <x:c r="O1" s="55" t="n"/>
      <x:c r="P1" s="55" t="n"/>
    </x:row>
    <x:row r="2">
      <x:c r="A2" s="55" t="inlineStr">
        <x:is>
          <x:t xml:space="preserve">Одна строка = один игрок в одном туре. Очки считаются автоматически по позиции и правилам с листа Scoring.</x:t>
        </x:is>
      </x:c>
      <x:c r="B2" s="55" t="n"/>
      <x:c r="C2" s="55" t="n"/>
      <x:c r="D2" s="55" t="n"/>
      <x:c r="E2" s="55" t="n"/>
      <x:c r="F2" s="55" t="n"/>
      <x:c r="G2" s="55" t="n"/>
      <x:c r="H2" s="55" t="n"/>
      <x:c r="I2" s="55" t="n"/>
      <x:c r="J2" s="55" t="n"/>
      <x:c r="K2" s="55" t="n"/>
      <x:c r="L2" s="55" t="n"/>
      <x:c r="M2" s="55" t="n"/>
      <x:c r="N2" s="55" t="n"/>
      <x:c r="O2" s="55" t="n"/>
      <x:c r="P2" s="55" t="n"/>
    </x:row>
    <x:row r="3">
      <x:c r="A3" s="55" t="inlineStr">
        <x:is>
          <x:t xml:space="preserve">Для вратаря заполняй пропущенные и шатаут. Для полевых — голы и передачи. Manual Adj можно использовать для штрафов/бонусов.</x:t>
        </x:is>
      </x:c>
      <x:c r="B3" s="55" t="n"/>
      <x:c r="C3" s="55" t="n"/>
      <x:c r="D3" s="55" t="n"/>
      <x:c r="E3" s="55" t="n"/>
      <x:c r="F3" s="55" t="n"/>
      <x:c r="G3" s="55" t="n"/>
      <x:c r="H3" s="55" t="n"/>
      <x:c r="I3" s="55" t="n"/>
      <x:c r="J3" s="55" t="n"/>
      <x:c r="K3" s="55" t="n"/>
      <x:c r="L3" s="55" t="n"/>
      <x:c r="M3" s="55" t="n"/>
      <x:c r="N3" s="55" t="n"/>
      <x:c r="O3" s="55" t="n"/>
      <x:c r="P3" s="55" t="n"/>
    </x:row>
    <x:row r="5">
      <x:c r="A5" s="61" t="inlineStr">
        <x:is>
          <x:t xml:space="preserve">Дата</x:t>
        </x:is>
      </x:c>
      <x:c r="B5" s="61" t="inlineStr">
        <x:is>
          <x:t xml:space="preserve">Этап</x:t>
        </x:is>
      </x:c>
      <x:c r="C5" s="61" t="inlineStr">
        <x:is>
          <x:t xml:space="preserve">Раунд</x:t>
        </x:is>
      </x:c>
      <x:c r="D5" s="61" t="inlineStr">
        <x:is>
          <x:t xml:space="preserve">Участник</x:t>
        </x:is>
      </x:c>
      <x:c r="E5" s="61" t="inlineStr">
        <x:is>
          <x:t xml:space="preserve">Команда участника</x:t>
        </x:is>
      </x:c>
      <x:c r="F5" s="61" t="inlineStr">
        <x:is>
          <x:t xml:space="preserve">Игрок</x:t>
        </x:is>
      </x:c>
      <x:c r="G5" s="61" t="inlineStr">
        <x:is>
          <x:t xml:space="preserve">Клуб</x:t>
        </x:is>
      </x:c>
      <x:c r="H5" s="61" t="inlineStr">
        <x:is>
          <x:t xml:space="preserve">Позиция</x:t>
        </x:is>
      </x:c>
      <x:c r="I5" s="61" t="inlineStr">
        <x:is>
          <x:t xml:space="preserve">Голы</x:t>
        </x:is>
      </x:c>
      <x:c r="J5" s="61" t="inlineStr">
        <x:is>
          <x:t xml:space="preserve">Передачи</x:t>
        </x:is>
      </x:c>
      <x:c r="K5" s="61" t="inlineStr">
        <x:is>
          <x:t xml:space="preserve">Пропущено</x:t>
        </x:is>
      </x:c>
      <x:c r="L5" s="61" t="inlineStr">
        <x:is>
          <x:t xml:space="preserve">Шатаут</x:t>
        </x:is>
      </x:c>
      <x:c r="M5" s="61" t="inlineStr">
        <x:is>
          <x:t xml:space="preserve">Manual Adj</x:t>
        </x:is>
      </x:c>
      <x:c r="N5" s="61" t="inlineStr">
        <x:is>
          <x:t xml:space="preserve">Очки игрока</x:t>
        </x:is>
      </x:c>
      <x:c r="O5" s="61" t="inlineStr">
        <x:is>
          <x:t xml:space="preserve">Учитывать</x:t>
        </x:is>
      </x:c>
      <x:c r="P5" s="61" t="inlineStr">
        <x:is>
          <x:t xml:space="preserve">Комментарий</x:t>
        </x:is>
      </x:c>
    </x:row>
    <x:row r="6">
      <x:c r="A6" s="42" t="n"/>
      <x:c r="B6" s="43" t="n"/>
      <x:c r="C6" s="43" t="n"/>
      <x:c r="D6" s="44" t="n"/>
      <x:c r="E6" s="44" t="n"/>
      <x:c r="F6" s="44" t="n"/>
      <x:c r="G6" s="44" t="n"/>
      <x:c r="H6" s="44" t="n"/>
      <x:c r="I6" s="44" t="n"/>
      <x:c r="J6" s="44" t="n"/>
      <x:c r="K6" s="44" t="n"/>
      <x:c r="L6" s="45" t="n"/>
      <x:c r="M6" s="46" t="n"/>
      <x:c r="N6" s="62">
        <x:f>IF(OR(F6="",H6="",O6="Нет"),"",IF(H6="Вратарь",IF(L6="Да",Scoring!$C$7,IF(K6=1,Scoring!$C$8,IF(K6=2,Scoring!$C$9,Scoring!$C$10)))+IF(M6="",0,M6),N(IF(I6="",0,I6)*Scoring!$C$5)+N(IF(J6="",0,J6)*Scoring!$C$6)+IF(M6="",0,M6)))</x:f>
      </x:c>
      <x:c r="O6" s="62" t="inlineStr">
        <x:is>
          <x:t xml:space="preserve">Да</x:t>
        </x:is>
      </x:c>
      <x:c r="P6" s="62" t="n"/>
    </x:row>
    <x:row r="7">
      <x:c r="A7" s="42" t="n"/>
      <x:c r="B7" s="43" t="n"/>
      <x:c r="C7" s="43" t="n"/>
      <x:c r="D7" s="44" t="n"/>
      <x:c r="E7" s="44" t="n"/>
      <x:c r="F7" s="44" t="n"/>
      <x:c r="G7" s="44" t="n"/>
      <x:c r="H7" s="44" t="n"/>
      <x:c r="I7" s="44" t="n"/>
      <x:c r="J7" s="44" t="n"/>
      <x:c r="K7" s="44" t="n"/>
      <x:c r="L7" s="45" t="n"/>
      <x:c r="M7" s="46" t="n"/>
      <x:c r="N7" s="62">
        <x:f>IF(OR(F7="",H7="",O7="Нет"),"",IF(H7="Вратарь",IF(L7="Да",Scoring!$C$7,IF(K7=1,Scoring!$C$8,IF(K7=2,Scoring!$C$9,Scoring!$C$10)))+IF(M7="",0,M7),N(IF(I7="",0,I7)*Scoring!$C$5)+N(IF(J7="",0,J7)*Scoring!$C$6)+IF(M7="",0,M7)))</x:f>
      </x:c>
      <x:c r="O7" s="62" t="inlineStr">
        <x:is>
          <x:t xml:space="preserve">Да</x:t>
        </x:is>
      </x:c>
      <x:c r="P7" s="62" t="n"/>
    </x:row>
    <x:row r="8">
      <x:c r="A8" s="42" t="n"/>
      <x:c r="B8" s="43" t="n"/>
      <x:c r="C8" s="43" t="n"/>
      <x:c r="D8" s="44" t="n"/>
      <x:c r="E8" s="44" t="n"/>
      <x:c r="F8" s="44" t="n"/>
      <x:c r="G8" s="44" t="n"/>
      <x:c r="H8" s="44" t="n"/>
      <x:c r="I8" s="44" t="n"/>
      <x:c r="J8" s="44" t="n"/>
      <x:c r="K8" s="44" t="n"/>
      <x:c r="L8" s="45" t="n"/>
      <x:c r="M8" s="46" t="n"/>
      <x:c r="N8" s="62">
        <x:f>IF(OR(F8="",H8="",O8="Нет"),"",IF(H8="Вратарь",IF(L8="Да",Scoring!$C$7,IF(K8=1,Scoring!$C$8,IF(K8=2,Scoring!$C$9,Scoring!$C$10)))+IF(M8="",0,M8),N(IF(I8="",0,I8)*Scoring!$C$5)+N(IF(J8="",0,J8)*Scoring!$C$6)+IF(M8="",0,M8)))</x:f>
      </x:c>
      <x:c r="O8" s="62" t="inlineStr">
        <x:is>
          <x:t xml:space="preserve">Да</x:t>
        </x:is>
      </x:c>
      <x:c r="P8" s="62" t="n"/>
    </x:row>
    <x:row r="9">
      <x:c r="A9" s="42" t="n"/>
      <x:c r="B9" s="43" t="n"/>
      <x:c r="C9" s="43" t="n"/>
      <x:c r="D9" s="44" t="n"/>
      <x:c r="E9" s="44" t="n"/>
      <x:c r="F9" s="44" t="n"/>
      <x:c r="G9" s="44" t="n"/>
      <x:c r="H9" s="44" t="n"/>
      <x:c r="I9" s="44" t="n"/>
      <x:c r="J9" s="44" t="n"/>
      <x:c r="K9" s="44" t="n"/>
      <x:c r="L9" s="45" t="n"/>
      <x:c r="M9" s="46" t="n"/>
      <x:c r="N9" s="62">
        <x:f>IF(OR(F9="",H9="",O9="Нет"),"",IF(H9="Вратарь",IF(L9="Да",Scoring!$C$7,IF(K9=1,Scoring!$C$8,IF(K9=2,Scoring!$C$9,Scoring!$C$10)))+IF(M9="",0,M9),N(IF(I9="",0,I9)*Scoring!$C$5)+N(IF(J9="",0,J9)*Scoring!$C$6)+IF(M9="",0,M9)))</x:f>
      </x:c>
      <x:c r="O9" s="62" t="inlineStr">
        <x:is>
          <x:t xml:space="preserve">Да</x:t>
        </x:is>
      </x:c>
      <x:c r="P9" s="62" t="n"/>
    </x:row>
    <x:row r="10">
      <x:c r="A10" s="42" t="n"/>
      <x:c r="B10" s="43" t="n"/>
      <x:c r="C10" s="43" t="n"/>
      <x:c r="D10" s="44" t="n"/>
      <x:c r="E10" s="44" t="n"/>
      <x:c r="F10" s="44" t="n"/>
      <x:c r="G10" s="44" t="n"/>
      <x:c r="H10" s="44" t="n"/>
      <x:c r="I10" s="44" t="n"/>
      <x:c r="J10" s="44" t="n"/>
      <x:c r="K10" s="44" t="n"/>
      <x:c r="L10" s="45" t="n"/>
      <x:c r="M10" s="46" t="n"/>
      <x:c r="N10" s="62">
        <x:f>IF(OR(F10="",H10="",O10="Нет"),"",IF(H10="Вратарь",IF(L10="Да",Scoring!$C$7,IF(K10=1,Scoring!$C$8,IF(K10=2,Scoring!$C$9,Scoring!$C$10)))+IF(M10="",0,M10),N(IF(I10="",0,I10)*Scoring!$C$5)+N(IF(J10="",0,J10)*Scoring!$C$6)+IF(M10="",0,M10)))</x:f>
      </x:c>
      <x:c r="O10" s="62" t="inlineStr">
        <x:is>
          <x:t xml:space="preserve">Да</x:t>
        </x:is>
      </x:c>
      <x:c r="P10" s="62" t="n"/>
    </x:row>
    <x:row r="11">
      <x:c r="A11" s="42" t="n"/>
      <x:c r="B11" s="43" t="n"/>
      <x:c r="C11" s="43" t="n"/>
      <x:c r="D11" s="44" t="n"/>
      <x:c r="E11" s="44" t="n"/>
      <x:c r="F11" s="44" t="n"/>
      <x:c r="G11" s="44" t="n"/>
      <x:c r="H11" s="44" t="n"/>
      <x:c r="I11" s="44" t="n"/>
      <x:c r="J11" s="44" t="n"/>
      <x:c r="K11" s="44" t="n"/>
      <x:c r="L11" s="45" t="n"/>
      <x:c r="M11" s="46" t="n"/>
      <x:c r="N11" s="62">
        <x:f>IF(OR(F11="",H11="",O11="Нет"),"",IF(H11="Вратарь",IF(L11="Да",Scoring!$C$7,IF(K11=1,Scoring!$C$8,IF(K11=2,Scoring!$C$9,Scoring!$C$10)))+IF(M11="",0,M11),N(IF(I11="",0,I11)*Scoring!$C$5)+N(IF(J11="",0,J11)*Scoring!$C$6)+IF(M11="",0,M11)))</x:f>
      </x:c>
      <x:c r="O11" s="62" t="inlineStr">
        <x:is>
          <x:t xml:space="preserve">Да</x:t>
        </x:is>
      </x:c>
      <x:c r="P11" s="62" t="n"/>
    </x:row>
    <x:row r="12">
      <x:c r="A12" s="42" t="n"/>
      <x:c r="B12" s="43" t="n"/>
      <x:c r="C12" s="43" t="n"/>
      <x:c r="D12" s="44" t="n"/>
      <x:c r="E12" s="44" t="n"/>
      <x:c r="F12" s="44" t="n"/>
      <x:c r="G12" s="44" t="n"/>
      <x:c r="H12" s="44" t="n"/>
      <x:c r="I12" s="44" t="n"/>
      <x:c r="J12" s="44" t="n"/>
      <x:c r="K12" s="44" t="n"/>
      <x:c r="L12" s="45" t="n"/>
      <x:c r="M12" s="46" t="n"/>
      <x:c r="N12" s="62">
        <x:f>IF(OR(F12="",H12="",O12="Нет"),"",IF(H12="Вратарь",IF(L12="Да",Scoring!$C$7,IF(K12=1,Scoring!$C$8,IF(K12=2,Scoring!$C$9,Scoring!$C$10)))+IF(M12="",0,M12),N(IF(I12="",0,I12)*Scoring!$C$5)+N(IF(J12="",0,J12)*Scoring!$C$6)+IF(M12="",0,M12)))</x:f>
      </x:c>
      <x:c r="O12" s="62" t="inlineStr">
        <x:is>
          <x:t xml:space="preserve">Да</x:t>
        </x:is>
      </x:c>
      <x:c r="P12" s="62" t="n"/>
    </x:row>
    <x:row r="13">
      <x:c r="A13" s="42" t="n"/>
      <x:c r="B13" s="43" t="n"/>
      <x:c r="C13" s="43" t="n"/>
      <x:c r="D13" s="44" t="n"/>
      <x:c r="E13" s="44" t="n"/>
      <x:c r="F13" s="44" t="n"/>
      <x:c r="G13" s="44" t="n"/>
      <x:c r="H13" s="44" t="n"/>
      <x:c r="I13" s="44" t="n"/>
      <x:c r="J13" s="44" t="n"/>
      <x:c r="K13" s="44" t="n"/>
      <x:c r="L13" s="45" t="n"/>
      <x:c r="M13" s="46" t="n"/>
      <x:c r="N13" s="62">
        <x:f>IF(OR(F13="",H13="",O13="Нет"),"",IF(H13="Вратарь",IF(L13="Да",Scoring!$C$7,IF(K13=1,Scoring!$C$8,IF(K13=2,Scoring!$C$9,Scoring!$C$10)))+IF(M13="",0,M13),N(IF(I13="",0,I13)*Scoring!$C$5)+N(IF(J13="",0,J13)*Scoring!$C$6)+IF(M13="",0,M13)))</x:f>
      </x:c>
      <x:c r="O13" s="62" t="inlineStr">
        <x:is>
          <x:t xml:space="preserve">Да</x:t>
        </x:is>
      </x:c>
      <x:c r="P13" s="62" t="n"/>
    </x:row>
    <x:row r="14">
      <x:c r="A14" s="42" t="n"/>
      <x:c r="B14" s="43" t="n"/>
      <x:c r="C14" s="43" t="n"/>
      <x:c r="D14" s="44" t="n"/>
      <x:c r="E14" s="44" t="n"/>
      <x:c r="F14" s="44" t="n"/>
      <x:c r="G14" s="44" t="n"/>
      <x:c r="H14" s="44" t="n"/>
      <x:c r="I14" s="44" t="n"/>
      <x:c r="J14" s="44" t="n"/>
      <x:c r="K14" s="44" t="n"/>
      <x:c r="L14" s="45" t="n"/>
      <x:c r="M14" s="46" t="n"/>
      <x:c r="N14" s="62">
        <x:f>IF(OR(F14="",H14="",O14="Нет"),"",IF(H14="Вратарь",IF(L14="Да",Scoring!$C$7,IF(K14=1,Scoring!$C$8,IF(K14=2,Scoring!$C$9,Scoring!$C$10)))+IF(M14="",0,M14),N(IF(I14="",0,I14)*Scoring!$C$5)+N(IF(J14="",0,J14)*Scoring!$C$6)+IF(M14="",0,M14)))</x:f>
      </x:c>
      <x:c r="O14" s="62" t="inlineStr">
        <x:is>
          <x:t xml:space="preserve">Да</x:t>
        </x:is>
      </x:c>
      <x:c r="P14" s="62" t="n"/>
    </x:row>
    <x:row r="15">
      <x:c r="A15" s="42" t="n"/>
      <x:c r="B15" s="43" t="n"/>
      <x:c r="C15" s="43" t="n"/>
      <x:c r="D15" s="44" t="n"/>
      <x:c r="E15" s="44" t="n"/>
      <x:c r="F15" s="44" t="n"/>
      <x:c r="G15" s="44" t="n"/>
      <x:c r="H15" s="44" t="n"/>
      <x:c r="I15" s="44" t="n"/>
      <x:c r="J15" s="44" t="n"/>
      <x:c r="K15" s="44" t="n"/>
      <x:c r="L15" s="45" t="n"/>
      <x:c r="M15" s="46" t="n"/>
      <x:c r="N15" s="62">
        <x:f>IF(OR(F15="",H15="",O15="Нет"),"",IF(H15="Вратарь",IF(L15="Да",Scoring!$C$7,IF(K15=1,Scoring!$C$8,IF(K15=2,Scoring!$C$9,Scoring!$C$10)))+IF(M15="",0,M15),N(IF(I15="",0,I15)*Scoring!$C$5)+N(IF(J15="",0,J15)*Scoring!$C$6)+IF(M15="",0,M15)))</x:f>
      </x:c>
      <x:c r="O15" s="62" t="inlineStr">
        <x:is>
          <x:t xml:space="preserve">Да</x:t>
        </x:is>
      </x:c>
      <x:c r="P15" s="62" t="n"/>
    </x:row>
    <x:row r="16">
      <x:c r="A16" s="42" t="n"/>
      <x:c r="B16" s="43" t="n"/>
      <x:c r="C16" s="43" t="n"/>
      <x:c r="D16" s="44" t="n"/>
      <x:c r="E16" s="44" t="n"/>
      <x:c r="F16" s="44" t="n"/>
      <x:c r="G16" s="44" t="n"/>
      <x:c r="H16" s="44" t="n"/>
      <x:c r="I16" s="44" t="n"/>
      <x:c r="J16" s="44" t="n"/>
      <x:c r="K16" s="44" t="n"/>
      <x:c r="L16" s="45" t="n"/>
      <x:c r="M16" s="46" t="n"/>
      <x:c r="N16" s="62">
        <x:f>IF(OR(F16="",H16="",O16="Нет"),"",IF(H16="Вратарь",IF(L16="Да",Scoring!$C$7,IF(K16=1,Scoring!$C$8,IF(K16=2,Scoring!$C$9,Scoring!$C$10)))+IF(M16="",0,M16),N(IF(I16="",0,I16)*Scoring!$C$5)+N(IF(J16="",0,J16)*Scoring!$C$6)+IF(M16="",0,M16)))</x:f>
      </x:c>
      <x:c r="O16" s="62" t="inlineStr">
        <x:is>
          <x:t xml:space="preserve">Да</x:t>
        </x:is>
      </x:c>
      <x:c r="P16" s="62" t="n"/>
    </x:row>
    <x:row r="17">
      <x:c r="A17" s="42" t="n"/>
      <x:c r="B17" s="43" t="n"/>
      <x:c r="C17" s="43" t="n"/>
      <x:c r="D17" s="44" t="n"/>
      <x:c r="E17" s="44" t="n"/>
      <x:c r="F17" s="44" t="n"/>
      <x:c r="G17" s="44" t="n"/>
      <x:c r="H17" s="44" t="n"/>
      <x:c r="I17" s="44" t="n"/>
      <x:c r="J17" s="44" t="n"/>
      <x:c r="K17" s="44" t="n"/>
      <x:c r="L17" s="45" t="n"/>
      <x:c r="M17" s="46" t="n"/>
      <x:c r="N17" s="62">
        <x:f>IF(OR(F17="",H17="",O17="Нет"),"",IF(H17="Вратарь",IF(L17="Да",Scoring!$C$7,IF(K17=1,Scoring!$C$8,IF(K17=2,Scoring!$C$9,Scoring!$C$10)))+IF(M17="",0,M17),N(IF(I17="",0,I17)*Scoring!$C$5)+N(IF(J17="",0,J17)*Scoring!$C$6)+IF(M17="",0,M17)))</x:f>
      </x:c>
      <x:c r="O17" s="62" t="inlineStr">
        <x:is>
          <x:t xml:space="preserve">Да</x:t>
        </x:is>
      </x:c>
      <x:c r="P17" s="62" t="n"/>
    </x:row>
    <x:row r="18">
      <x:c r="A18" s="42" t="n"/>
      <x:c r="B18" s="43" t="n"/>
      <x:c r="C18" s="43" t="n"/>
      <x:c r="D18" s="44" t="n"/>
      <x:c r="E18" s="44" t="n"/>
      <x:c r="F18" s="44" t="n"/>
      <x:c r="G18" s="44" t="n"/>
      <x:c r="H18" s="44" t="n"/>
      <x:c r="I18" s="44" t="n"/>
      <x:c r="J18" s="44" t="n"/>
      <x:c r="K18" s="44" t="n"/>
      <x:c r="L18" s="45" t="n"/>
      <x:c r="M18" s="46" t="n"/>
      <x:c r="N18" s="62">
        <x:f>IF(OR(F18="",H18="",O18="Нет"),"",IF(H18="Вратарь",IF(L18="Да",Scoring!$C$7,IF(K18=1,Scoring!$C$8,IF(K18=2,Scoring!$C$9,Scoring!$C$10)))+IF(M18="",0,M18),N(IF(I18="",0,I18)*Scoring!$C$5)+N(IF(J18="",0,J18)*Scoring!$C$6)+IF(M18="",0,M18)))</x:f>
      </x:c>
      <x:c r="O18" s="62" t="inlineStr">
        <x:is>
          <x:t xml:space="preserve">Да</x:t>
        </x:is>
      </x:c>
      <x:c r="P18" s="62" t="n"/>
    </x:row>
    <x:row r="19">
      <x:c r="A19" s="42" t="n"/>
      <x:c r="B19" s="43" t="n"/>
      <x:c r="C19" s="43" t="n"/>
      <x:c r="D19" s="44" t="n"/>
      <x:c r="E19" s="44" t="n"/>
      <x:c r="F19" s="44" t="n"/>
      <x:c r="G19" s="44" t="n"/>
      <x:c r="H19" s="44" t="n"/>
      <x:c r="I19" s="44" t="n"/>
      <x:c r="J19" s="44" t="n"/>
      <x:c r="K19" s="44" t="n"/>
      <x:c r="L19" s="45" t="n"/>
      <x:c r="M19" s="46" t="n"/>
      <x:c r="N19" s="62">
        <x:f>IF(OR(F19="",H19="",O19="Нет"),"",IF(H19="Вратарь",IF(L19="Да",Scoring!$C$7,IF(K19=1,Scoring!$C$8,IF(K19=2,Scoring!$C$9,Scoring!$C$10)))+IF(M19="",0,M19),N(IF(I19="",0,I19)*Scoring!$C$5)+N(IF(J19="",0,J19)*Scoring!$C$6)+IF(M19="",0,M19)))</x:f>
      </x:c>
      <x:c r="O19" s="62" t="inlineStr">
        <x:is>
          <x:t xml:space="preserve">Да</x:t>
        </x:is>
      </x:c>
      <x:c r="P19" s="62" t="n"/>
    </x:row>
    <x:row r="20">
      <x:c r="A20" s="42" t="n"/>
      <x:c r="B20" s="43" t="n"/>
      <x:c r="C20" s="43" t="n"/>
      <x:c r="D20" s="44" t="n"/>
      <x:c r="E20" s="44" t="n"/>
      <x:c r="F20" s="44" t="n"/>
      <x:c r="G20" s="44" t="n"/>
      <x:c r="H20" s="44" t="n"/>
      <x:c r="I20" s="44" t="n"/>
      <x:c r="J20" s="44" t="n"/>
      <x:c r="K20" s="44" t="n"/>
      <x:c r="L20" s="45" t="n"/>
      <x:c r="M20" s="46" t="n"/>
      <x:c r="N20" s="62">
        <x:f>IF(OR(F20="",H20="",O20="Нет"),"",IF(H20="Вратарь",IF(L20="Да",Scoring!$C$7,IF(K20=1,Scoring!$C$8,IF(K20=2,Scoring!$C$9,Scoring!$C$10)))+IF(M20="",0,M20),N(IF(I20="",0,I20)*Scoring!$C$5)+N(IF(J20="",0,J20)*Scoring!$C$6)+IF(M20="",0,M20)))</x:f>
      </x:c>
      <x:c r="O20" s="62" t="inlineStr">
        <x:is>
          <x:t xml:space="preserve">Да</x:t>
        </x:is>
      </x:c>
      <x:c r="P20" s="62" t="n"/>
    </x:row>
    <x:row r="21">
      <x:c r="A21" s="42" t="n"/>
      <x:c r="B21" s="43" t="n"/>
      <x:c r="C21" s="43" t="n"/>
      <x:c r="D21" s="44" t="n"/>
      <x:c r="E21" s="44" t="n"/>
      <x:c r="F21" s="44" t="n"/>
      <x:c r="G21" s="44" t="n"/>
      <x:c r="H21" s="44" t="n"/>
      <x:c r="I21" s="44" t="n"/>
      <x:c r="J21" s="44" t="n"/>
      <x:c r="K21" s="44" t="n"/>
      <x:c r="L21" s="45" t="n"/>
      <x:c r="M21" s="46" t="n"/>
      <x:c r="N21" s="62">
        <x:f>IF(OR(F21="",H21="",O21="Нет"),"",IF(H21="Вратарь",IF(L21="Да",Scoring!$C$7,IF(K21=1,Scoring!$C$8,IF(K21=2,Scoring!$C$9,Scoring!$C$10)))+IF(M21="",0,M21),N(IF(I21="",0,I21)*Scoring!$C$5)+N(IF(J21="",0,J21)*Scoring!$C$6)+IF(M21="",0,M21)))</x:f>
      </x:c>
      <x:c r="O21" s="62" t="inlineStr">
        <x:is>
          <x:t xml:space="preserve">Да</x:t>
        </x:is>
      </x:c>
      <x:c r="P21" s="62" t="n"/>
    </x:row>
    <x:row r="22">
      <x:c r="A22" s="42" t="n"/>
      <x:c r="B22" s="43" t="n"/>
      <x:c r="C22" s="43" t="n"/>
      <x:c r="D22" s="44" t="n"/>
      <x:c r="E22" s="44" t="n"/>
      <x:c r="F22" s="44" t="n"/>
      <x:c r="G22" s="44" t="n"/>
      <x:c r="H22" s="44" t="n"/>
      <x:c r="I22" s="44" t="n"/>
      <x:c r="J22" s="44" t="n"/>
      <x:c r="K22" s="44" t="n"/>
      <x:c r="L22" s="45" t="n"/>
      <x:c r="M22" s="46" t="n"/>
      <x:c r="N22" s="62">
        <x:f>IF(OR(F22="",H22="",O22="Нет"),"",IF(H22="Вратарь",IF(L22="Да",Scoring!$C$7,IF(K22=1,Scoring!$C$8,IF(K22=2,Scoring!$C$9,Scoring!$C$10)))+IF(M22="",0,M22),N(IF(I22="",0,I22)*Scoring!$C$5)+N(IF(J22="",0,J22)*Scoring!$C$6)+IF(M22="",0,M22)))</x:f>
      </x:c>
      <x:c r="O22" s="62" t="inlineStr">
        <x:is>
          <x:t xml:space="preserve">Да</x:t>
        </x:is>
      </x:c>
      <x:c r="P22" s="62" t="n"/>
    </x:row>
    <x:row r="23">
      <x:c r="A23" s="42" t="n"/>
      <x:c r="B23" s="43" t="n"/>
      <x:c r="C23" s="43" t="n"/>
      <x:c r="D23" s="44" t="n"/>
      <x:c r="E23" s="44" t="n"/>
      <x:c r="F23" s="44" t="n"/>
      <x:c r="G23" s="44" t="n"/>
      <x:c r="H23" s="44" t="n"/>
      <x:c r="I23" s="44" t="n"/>
      <x:c r="J23" s="44" t="n"/>
      <x:c r="K23" s="44" t="n"/>
      <x:c r="L23" s="45" t="n"/>
      <x:c r="M23" s="46" t="n"/>
      <x:c r="N23" s="62">
        <x:f>IF(OR(F23="",H23="",O23="Нет"),"",IF(H23="Вратарь",IF(L23="Да",Scoring!$C$7,IF(K23=1,Scoring!$C$8,IF(K23=2,Scoring!$C$9,Scoring!$C$10)))+IF(M23="",0,M23),N(IF(I23="",0,I23)*Scoring!$C$5)+N(IF(J23="",0,J23)*Scoring!$C$6)+IF(M23="",0,M23)))</x:f>
      </x:c>
      <x:c r="O23" s="62" t="inlineStr">
        <x:is>
          <x:t xml:space="preserve">Да</x:t>
        </x:is>
      </x:c>
      <x:c r="P23" s="62" t="n"/>
    </x:row>
    <x:row r="24">
      <x:c r="A24" s="42" t="n"/>
      <x:c r="B24" s="43" t="n"/>
      <x:c r="C24" s="43" t="n"/>
      <x:c r="D24" s="44" t="n"/>
      <x:c r="E24" s="44" t="n"/>
      <x:c r="F24" s="44" t="n"/>
      <x:c r="G24" s="44" t="n"/>
      <x:c r="H24" s="44" t="n"/>
      <x:c r="I24" s="44" t="n"/>
      <x:c r="J24" s="44" t="n"/>
      <x:c r="K24" s="44" t="n"/>
      <x:c r="L24" s="45" t="n"/>
      <x:c r="M24" s="46" t="n"/>
      <x:c r="N24" s="62">
        <x:f>IF(OR(F24="",H24="",O24="Нет"),"",IF(H24="Вратарь",IF(L24="Да",Scoring!$C$7,IF(K24=1,Scoring!$C$8,IF(K24=2,Scoring!$C$9,Scoring!$C$10)))+IF(M24="",0,M24),N(IF(I24="",0,I24)*Scoring!$C$5)+N(IF(J24="",0,J24)*Scoring!$C$6)+IF(M24="",0,M24)))</x:f>
      </x:c>
      <x:c r="O24" s="62" t="inlineStr">
        <x:is>
          <x:t xml:space="preserve">Да</x:t>
        </x:is>
      </x:c>
      <x:c r="P24" s="62" t="n"/>
    </x:row>
    <x:row r="25">
      <x:c r="A25" s="42" t="n"/>
      <x:c r="B25" s="43" t="n"/>
      <x:c r="C25" s="43" t="n"/>
      <x:c r="D25" s="44" t="n"/>
      <x:c r="E25" s="44" t="n"/>
      <x:c r="F25" s="44" t="n"/>
      <x:c r="G25" s="44" t="n"/>
      <x:c r="H25" s="44" t="n"/>
      <x:c r="I25" s="44" t="n"/>
      <x:c r="J25" s="44" t="n"/>
      <x:c r="K25" s="44" t="n"/>
      <x:c r="L25" s="45" t="n"/>
      <x:c r="M25" s="46" t="n"/>
      <x:c r="N25" s="62">
        <x:f>IF(OR(F25="",H25="",O25="Нет"),"",IF(H25="Вратарь",IF(L25="Да",Scoring!$C$7,IF(K25=1,Scoring!$C$8,IF(K25=2,Scoring!$C$9,Scoring!$C$10)))+IF(M25="",0,M25),N(IF(I25="",0,I25)*Scoring!$C$5)+N(IF(J25="",0,J25)*Scoring!$C$6)+IF(M25="",0,M25)))</x:f>
      </x:c>
      <x:c r="O25" s="62" t="inlineStr">
        <x:is>
          <x:t xml:space="preserve">Да</x:t>
        </x:is>
      </x:c>
      <x:c r="P25" s="62" t="n"/>
    </x:row>
    <x:row r="26">
      <x:c r="A26" s="42" t="n"/>
      <x:c r="B26" s="43" t="n"/>
      <x:c r="C26" s="43" t="n"/>
      <x:c r="D26" s="44" t="n"/>
      <x:c r="E26" s="44" t="n"/>
      <x:c r="F26" s="44" t="n"/>
      <x:c r="G26" s="44" t="n"/>
      <x:c r="H26" s="44" t="n"/>
      <x:c r="I26" s="44" t="n"/>
      <x:c r="J26" s="44" t="n"/>
      <x:c r="K26" s="44" t="n"/>
      <x:c r="L26" s="45" t="n"/>
      <x:c r="M26" s="46" t="n"/>
      <x:c r="N26" s="62">
        <x:f>IF(OR(F26="",H26="",O26="Нет"),"",IF(H26="Вратарь",IF(L26="Да",Scoring!$C$7,IF(K26=1,Scoring!$C$8,IF(K26=2,Scoring!$C$9,Scoring!$C$10)))+IF(M26="",0,M26),N(IF(I26="",0,I26)*Scoring!$C$5)+N(IF(J26="",0,J26)*Scoring!$C$6)+IF(M26="",0,M26)))</x:f>
      </x:c>
      <x:c r="O26" s="62" t="inlineStr">
        <x:is>
          <x:t xml:space="preserve">Да</x:t>
        </x:is>
      </x:c>
      <x:c r="P26" s="62" t="n"/>
    </x:row>
    <x:row r="27">
      <x:c r="A27" s="42" t="n"/>
      <x:c r="B27" s="43" t="n"/>
      <x:c r="C27" s="43" t="n"/>
      <x:c r="D27" s="44" t="n"/>
      <x:c r="E27" s="44" t="n"/>
      <x:c r="F27" s="44" t="n"/>
      <x:c r="G27" s="44" t="n"/>
      <x:c r="H27" s="44" t="n"/>
      <x:c r="I27" s="44" t="n"/>
      <x:c r="J27" s="44" t="n"/>
      <x:c r="K27" s="44" t="n"/>
      <x:c r="L27" s="45" t="n"/>
      <x:c r="M27" s="46" t="n"/>
      <x:c r="N27" s="62">
        <x:f>IF(OR(F27="",H27="",O27="Нет"),"",IF(H27="Вратарь",IF(L27="Да",Scoring!$C$7,IF(K27=1,Scoring!$C$8,IF(K27=2,Scoring!$C$9,Scoring!$C$10)))+IF(M27="",0,M27),N(IF(I27="",0,I27)*Scoring!$C$5)+N(IF(J27="",0,J27)*Scoring!$C$6)+IF(M27="",0,M27)))</x:f>
      </x:c>
      <x:c r="O27" s="62" t="inlineStr">
        <x:is>
          <x:t xml:space="preserve">Да</x:t>
        </x:is>
      </x:c>
      <x:c r="P27" s="62" t="n"/>
    </x:row>
    <x:row r="28">
      <x:c r="A28" s="42" t="n"/>
      <x:c r="B28" s="43" t="n"/>
      <x:c r="C28" s="43" t="n"/>
      <x:c r="D28" s="44" t="n"/>
      <x:c r="E28" s="44" t="n"/>
      <x:c r="F28" s="44" t="n"/>
      <x:c r="G28" s="44" t="n"/>
      <x:c r="H28" s="44" t="n"/>
      <x:c r="I28" s="44" t="n"/>
      <x:c r="J28" s="44" t="n"/>
      <x:c r="K28" s="44" t="n"/>
      <x:c r="L28" s="45" t="n"/>
      <x:c r="M28" s="46" t="n"/>
      <x:c r="N28" s="62">
        <x:f>IF(OR(F28="",H28="",O28="Нет"),"",IF(H28="Вратарь",IF(L28="Да",Scoring!$C$7,IF(K28=1,Scoring!$C$8,IF(K28=2,Scoring!$C$9,Scoring!$C$10)))+IF(M28="",0,M28),N(IF(I28="",0,I28)*Scoring!$C$5)+N(IF(J28="",0,J28)*Scoring!$C$6)+IF(M28="",0,M28)))</x:f>
      </x:c>
      <x:c r="O28" s="62" t="inlineStr">
        <x:is>
          <x:t xml:space="preserve">Да</x:t>
        </x:is>
      </x:c>
      <x:c r="P28" s="62" t="n"/>
    </x:row>
    <x:row r="29">
      <x:c r="A29" s="42" t="n"/>
      <x:c r="B29" s="43" t="n"/>
      <x:c r="C29" s="43" t="n"/>
      <x:c r="D29" s="44" t="n"/>
      <x:c r="E29" s="44" t="n"/>
      <x:c r="F29" s="44" t="n"/>
      <x:c r="G29" s="44" t="n"/>
      <x:c r="H29" s="44" t="n"/>
      <x:c r="I29" s="44" t="n"/>
      <x:c r="J29" s="44" t="n"/>
      <x:c r="K29" s="44" t="n"/>
      <x:c r="L29" s="45" t="n"/>
      <x:c r="M29" s="46" t="n"/>
      <x:c r="N29" s="62">
        <x:f>IF(OR(F29="",H29="",O29="Нет"),"",IF(H29="Вратарь",IF(L29="Да",Scoring!$C$7,IF(K29=1,Scoring!$C$8,IF(K29=2,Scoring!$C$9,Scoring!$C$10)))+IF(M29="",0,M29),N(IF(I29="",0,I29)*Scoring!$C$5)+N(IF(J29="",0,J29)*Scoring!$C$6)+IF(M29="",0,M29)))</x:f>
      </x:c>
      <x:c r="O29" s="62" t="inlineStr">
        <x:is>
          <x:t xml:space="preserve">Да</x:t>
        </x:is>
      </x:c>
      <x:c r="P29" s="62" t="n"/>
    </x:row>
    <x:row r="30">
      <x:c r="A30" s="42" t="n"/>
      <x:c r="B30" s="43" t="n"/>
      <x:c r="C30" s="43" t="n"/>
      <x:c r="D30" s="44" t="n"/>
      <x:c r="E30" s="44" t="n"/>
      <x:c r="F30" s="44" t="n"/>
      <x:c r="G30" s="44" t="n"/>
      <x:c r="H30" s="44" t="n"/>
      <x:c r="I30" s="44" t="n"/>
      <x:c r="J30" s="44" t="n"/>
      <x:c r="K30" s="44" t="n"/>
      <x:c r="L30" s="45" t="n"/>
      <x:c r="M30" s="46" t="n"/>
      <x:c r="N30" s="62">
        <x:f>IF(OR(F30="",H30="",O30="Нет"),"",IF(H30="Вратарь",IF(L30="Да",Scoring!$C$7,IF(K30=1,Scoring!$C$8,IF(K30=2,Scoring!$C$9,Scoring!$C$10)))+IF(M30="",0,M30),N(IF(I30="",0,I30)*Scoring!$C$5)+N(IF(J30="",0,J30)*Scoring!$C$6)+IF(M30="",0,M30)))</x:f>
      </x:c>
      <x:c r="O30" s="62" t="inlineStr">
        <x:is>
          <x:t xml:space="preserve">Да</x:t>
        </x:is>
      </x:c>
      <x:c r="P30" s="62" t="n"/>
    </x:row>
    <x:row r="31">
      <x:c r="A31" s="42" t="n"/>
      <x:c r="B31" s="43" t="n"/>
      <x:c r="C31" s="43" t="n"/>
      <x:c r="D31" s="44" t="n"/>
      <x:c r="E31" s="44" t="n"/>
      <x:c r="F31" s="44" t="n"/>
      <x:c r="G31" s="44" t="n"/>
      <x:c r="H31" s="44" t="n"/>
      <x:c r="I31" s="44" t="n"/>
      <x:c r="J31" s="44" t="n"/>
      <x:c r="K31" s="44" t="n"/>
      <x:c r="L31" s="45" t="n"/>
      <x:c r="M31" s="46" t="n"/>
      <x:c r="N31" s="62">
        <x:f>IF(OR(F31="",H31="",O31="Нет"),"",IF(H31="Вратарь",IF(L31="Да",Scoring!$C$7,IF(K31=1,Scoring!$C$8,IF(K31=2,Scoring!$C$9,Scoring!$C$10)))+IF(M31="",0,M31),N(IF(I31="",0,I31)*Scoring!$C$5)+N(IF(J31="",0,J31)*Scoring!$C$6)+IF(M31="",0,M31)))</x:f>
      </x:c>
      <x:c r="O31" s="62" t="inlineStr">
        <x:is>
          <x:t xml:space="preserve">Да</x:t>
        </x:is>
      </x:c>
      <x:c r="P31" s="62" t="n"/>
    </x:row>
    <x:row r="32">
      <x:c r="A32" s="42" t="n"/>
      <x:c r="B32" s="43" t="n"/>
      <x:c r="C32" s="43" t="n"/>
      <x:c r="D32" s="44" t="n"/>
      <x:c r="E32" s="44" t="n"/>
      <x:c r="F32" s="44" t="n"/>
      <x:c r="G32" s="44" t="n"/>
      <x:c r="H32" s="44" t="n"/>
      <x:c r="I32" s="44" t="n"/>
      <x:c r="J32" s="44" t="n"/>
      <x:c r="K32" s="44" t="n"/>
      <x:c r="L32" s="45" t="n"/>
      <x:c r="M32" s="46" t="n"/>
      <x:c r="N32" s="62">
        <x:f>IF(OR(F32="",H32="",O32="Нет"),"",IF(H32="Вратарь",IF(L32="Да",Scoring!$C$7,IF(K32=1,Scoring!$C$8,IF(K32=2,Scoring!$C$9,Scoring!$C$10)))+IF(M32="",0,M32),N(IF(I32="",0,I32)*Scoring!$C$5)+N(IF(J32="",0,J32)*Scoring!$C$6)+IF(M32="",0,M32)))</x:f>
      </x:c>
      <x:c r="O32" s="62" t="inlineStr">
        <x:is>
          <x:t xml:space="preserve">Да</x:t>
        </x:is>
      </x:c>
      <x:c r="P32" s="62" t="n"/>
    </x:row>
    <x:row r="33">
      <x:c r="A33" s="42" t="n"/>
      <x:c r="B33" s="43" t="n"/>
      <x:c r="C33" s="43" t="n"/>
      <x:c r="D33" s="44" t="n"/>
      <x:c r="E33" s="44" t="n"/>
      <x:c r="F33" s="44" t="n"/>
      <x:c r="G33" s="44" t="n"/>
      <x:c r="H33" s="44" t="n"/>
      <x:c r="I33" s="44" t="n"/>
      <x:c r="J33" s="44" t="n"/>
      <x:c r="K33" s="44" t="n"/>
      <x:c r="L33" s="45" t="n"/>
      <x:c r="M33" s="46" t="n"/>
      <x:c r="N33" s="62">
        <x:f>IF(OR(F33="",H33="",O33="Нет"),"",IF(H33="Вратарь",IF(L33="Да",Scoring!$C$7,IF(K33=1,Scoring!$C$8,IF(K33=2,Scoring!$C$9,Scoring!$C$10)))+IF(M33="",0,M33),N(IF(I33="",0,I33)*Scoring!$C$5)+N(IF(J33="",0,J33)*Scoring!$C$6)+IF(M33="",0,M33)))</x:f>
      </x:c>
      <x:c r="O33" s="62" t="inlineStr">
        <x:is>
          <x:t xml:space="preserve">Да</x:t>
        </x:is>
      </x:c>
      <x:c r="P33" s="62" t="n"/>
    </x:row>
    <x:row r="34">
      <x:c r="A34" s="42" t="n"/>
      <x:c r="B34" s="43" t="n"/>
      <x:c r="C34" s="43" t="n"/>
      <x:c r="D34" s="44" t="n"/>
      <x:c r="E34" s="44" t="n"/>
      <x:c r="F34" s="44" t="n"/>
      <x:c r="G34" s="44" t="n"/>
      <x:c r="H34" s="44" t="n"/>
      <x:c r="I34" s="44" t="n"/>
      <x:c r="J34" s="44" t="n"/>
      <x:c r="K34" s="44" t="n"/>
      <x:c r="L34" s="45" t="n"/>
      <x:c r="M34" s="46" t="n"/>
      <x:c r="N34" s="62">
        <x:f>IF(OR(F34="",H34="",O34="Нет"),"",IF(H34="Вратарь",IF(L34="Да",Scoring!$C$7,IF(K34=1,Scoring!$C$8,IF(K34=2,Scoring!$C$9,Scoring!$C$10)))+IF(M34="",0,M34),N(IF(I34="",0,I34)*Scoring!$C$5)+N(IF(J34="",0,J34)*Scoring!$C$6)+IF(M34="",0,M34)))</x:f>
      </x:c>
      <x:c r="O34" s="62" t="inlineStr">
        <x:is>
          <x:t xml:space="preserve">Да</x:t>
        </x:is>
      </x:c>
      <x:c r="P34" s="62" t="n"/>
    </x:row>
    <x:row r="35">
      <x:c r="A35" s="42" t="n"/>
      <x:c r="B35" s="43" t="n"/>
      <x:c r="C35" s="43" t="n"/>
      <x:c r="D35" s="44" t="n"/>
      <x:c r="E35" s="44" t="n"/>
      <x:c r="F35" s="44" t="n"/>
      <x:c r="G35" s="44" t="n"/>
      <x:c r="H35" s="44" t="n"/>
      <x:c r="I35" s="44" t="n"/>
      <x:c r="J35" s="44" t="n"/>
      <x:c r="K35" s="44" t="n"/>
      <x:c r="L35" s="45" t="n"/>
      <x:c r="M35" s="46" t="n"/>
      <x:c r="N35" s="62">
        <x:f>IF(OR(F35="",H35="",O35="Нет"),"",IF(H35="Вратарь",IF(L35="Да",Scoring!$C$7,IF(K35=1,Scoring!$C$8,IF(K35=2,Scoring!$C$9,Scoring!$C$10)))+IF(M35="",0,M35),N(IF(I35="",0,I35)*Scoring!$C$5)+N(IF(J35="",0,J35)*Scoring!$C$6)+IF(M35="",0,M35)))</x:f>
      </x:c>
      <x:c r="O35" s="62" t="inlineStr">
        <x:is>
          <x:t xml:space="preserve">Да</x:t>
        </x:is>
      </x:c>
      <x:c r="P35" s="62" t="n"/>
    </x:row>
    <x:row r="36">
      <x:c r="A36" s="42" t="n"/>
      <x:c r="B36" s="43" t="n"/>
      <x:c r="C36" s="43" t="n"/>
      <x:c r="D36" s="44" t="n"/>
      <x:c r="E36" s="44" t="n"/>
      <x:c r="F36" s="44" t="n"/>
      <x:c r="G36" s="44" t="n"/>
      <x:c r="H36" s="44" t="n"/>
      <x:c r="I36" s="44" t="n"/>
      <x:c r="J36" s="44" t="n"/>
      <x:c r="K36" s="44" t="n"/>
      <x:c r="L36" s="45" t="n"/>
      <x:c r="M36" s="46" t="n"/>
      <x:c r="N36" s="62">
        <x:f>IF(OR(F36="",H36="",O36="Нет"),"",IF(H36="Вратарь",IF(L36="Да",Scoring!$C$7,IF(K36=1,Scoring!$C$8,IF(K36=2,Scoring!$C$9,Scoring!$C$10)))+IF(M36="",0,M36),N(IF(I36="",0,I36)*Scoring!$C$5)+N(IF(J36="",0,J36)*Scoring!$C$6)+IF(M36="",0,M36)))</x:f>
      </x:c>
      <x:c r="O36" s="62" t="inlineStr">
        <x:is>
          <x:t xml:space="preserve">Да</x:t>
        </x:is>
      </x:c>
      <x:c r="P36" s="62" t="n"/>
    </x:row>
    <x:row r="37">
      <x:c r="A37" s="42" t="n"/>
      <x:c r="B37" s="43" t="n"/>
      <x:c r="C37" s="43" t="n"/>
      <x:c r="D37" s="44" t="n"/>
      <x:c r="E37" s="44" t="n"/>
      <x:c r="F37" s="44" t="n"/>
      <x:c r="G37" s="44" t="n"/>
      <x:c r="H37" s="44" t="n"/>
      <x:c r="I37" s="44" t="n"/>
      <x:c r="J37" s="44" t="n"/>
      <x:c r="K37" s="44" t="n"/>
      <x:c r="L37" s="45" t="n"/>
      <x:c r="M37" s="46" t="n"/>
      <x:c r="N37" s="62">
        <x:f>IF(OR(F37="",H37="",O37="Нет"),"",IF(H37="Вратарь",IF(L37="Да",Scoring!$C$7,IF(K37=1,Scoring!$C$8,IF(K37=2,Scoring!$C$9,Scoring!$C$10)))+IF(M37="",0,M37),N(IF(I37="",0,I37)*Scoring!$C$5)+N(IF(J37="",0,J37)*Scoring!$C$6)+IF(M37="",0,M37)))</x:f>
      </x:c>
      <x:c r="O37" s="62" t="inlineStr">
        <x:is>
          <x:t xml:space="preserve">Да</x:t>
        </x:is>
      </x:c>
      <x:c r="P37" s="62" t="n"/>
    </x:row>
    <x:row r="38">
      <x:c r="A38" s="42" t="n"/>
      <x:c r="B38" s="43" t="n"/>
      <x:c r="C38" s="43" t="n"/>
      <x:c r="D38" s="44" t="n"/>
      <x:c r="E38" s="44" t="n"/>
      <x:c r="F38" s="44" t="n"/>
      <x:c r="G38" s="44" t="n"/>
      <x:c r="H38" s="44" t="n"/>
      <x:c r="I38" s="44" t="n"/>
      <x:c r="J38" s="44" t="n"/>
      <x:c r="K38" s="44" t="n"/>
      <x:c r="L38" s="45" t="n"/>
      <x:c r="M38" s="46" t="n"/>
      <x:c r="N38" s="62">
        <x:f>IF(OR(F38="",H38="",O38="Нет"),"",IF(H38="Вратарь",IF(L38="Да",Scoring!$C$7,IF(K38=1,Scoring!$C$8,IF(K38=2,Scoring!$C$9,Scoring!$C$10)))+IF(M38="",0,M38),N(IF(I38="",0,I38)*Scoring!$C$5)+N(IF(J38="",0,J38)*Scoring!$C$6)+IF(M38="",0,M38)))</x:f>
      </x:c>
      <x:c r="O38" s="62" t="inlineStr">
        <x:is>
          <x:t xml:space="preserve">Да</x:t>
        </x:is>
      </x:c>
      <x:c r="P38" s="62" t="n"/>
    </x:row>
    <x:row r="39">
      <x:c r="A39" s="42" t="n"/>
      <x:c r="B39" s="43" t="n"/>
      <x:c r="C39" s="43" t="n"/>
      <x:c r="D39" s="44" t="n"/>
      <x:c r="E39" s="44" t="n"/>
      <x:c r="F39" s="44" t="n"/>
      <x:c r="G39" s="44" t="n"/>
      <x:c r="H39" s="44" t="n"/>
      <x:c r="I39" s="44" t="n"/>
      <x:c r="J39" s="44" t="n"/>
      <x:c r="K39" s="44" t="n"/>
      <x:c r="L39" s="45" t="n"/>
      <x:c r="M39" s="46" t="n"/>
      <x:c r="N39" s="62">
        <x:f>IF(OR(F39="",H39="",O39="Нет"),"",IF(H39="Вратарь",IF(L39="Да",Scoring!$C$7,IF(K39=1,Scoring!$C$8,IF(K39=2,Scoring!$C$9,Scoring!$C$10)))+IF(M39="",0,M39),N(IF(I39="",0,I39)*Scoring!$C$5)+N(IF(J39="",0,J39)*Scoring!$C$6)+IF(M39="",0,M39)))</x:f>
      </x:c>
      <x:c r="O39" s="62" t="inlineStr">
        <x:is>
          <x:t xml:space="preserve">Да</x:t>
        </x:is>
      </x:c>
      <x:c r="P39" s="62" t="n"/>
    </x:row>
    <x:row r="40">
      <x:c r="A40" s="42" t="n"/>
      <x:c r="B40" s="43" t="n"/>
      <x:c r="C40" s="43" t="n"/>
      <x:c r="D40" s="44" t="n"/>
      <x:c r="E40" s="44" t="n"/>
      <x:c r="F40" s="44" t="n"/>
      <x:c r="G40" s="44" t="n"/>
      <x:c r="H40" s="44" t="n"/>
      <x:c r="I40" s="44" t="n"/>
      <x:c r="J40" s="44" t="n"/>
      <x:c r="K40" s="44" t="n"/>
      <x:c r="L40" s="45" t="n"/>
      <x:c r="M40" s="46" t="n"/>
      <x:c r="N40" s="62">
        <x:f>IF(OR(F40="",H40="",O40="Нет"),"",IF(H40="Вратарь",IF(L40="Да",Scoring!$C$7,IF(K40=1,Scoring!$C$8,IF(K40=2,Scoring!$C$9,Scoring!$C$10)))+IF(M40="",0,M40),N(IF(I40="",0,I40)*Scoring!$C$5)+N(IF(J40="",0,J40)*Scoring!$C$6)+IF(M40="",0,M40)))</x:f>
      </x:c>
      <x:c r="O40" s="62" t="inlineStr">
        <x:is>
          <x:t xml:space="preserve">Да</x:t>
        </x:is>
      </x:c>
      <x:c r="P40" s="62" t="n"/>
    </x:row>
    <x:row r="41">
      <x:c r="A41" s="42" t="n"/>
      <x:c r="B41" s="43" t="n"/>
      <x:c r="C41" s="43" t="n"/>
      <x:c r="D41" s="44" t="n"/>
      <x:c r="E41" s="44" t="n"/>
      <x:c r="F41" s="44" t="n"/>
      <x:c r="G41" s="44" t="n"/>
      <x:c r="H41" s="44" t="n"/>
      <x:c r="I41" s="44" t="n"/>
      <x:c r="J41" s="44" t="n"/>
      <x:c r="K41" s="44" t="n"/>
      <x:c r="L41" s="45" t="n"/>
      <x:c r="M41" s="46" t="n"/>
      <x:c r="N41" s="62">
        <x:f>IF(OR(F41="",H41="",O41="Нет"),"",IF(H41="Вратарь",IF(L41="Да",Scoring!$C$7,IF(K41=1,Scoring!$C$8,IF(K41=2,Scoring!$C$9,Scoring!$C$10)))+IF(M41="",0,M41),N(IF(I41="",0,I41)*Scoring!$C$5)+N(IF(J41="",0,J41)*Scoring!$C$6)+IF(M41="",0,M41)))</x:f>
      </x:c>
      <x:c r="O41" s="62" t="inlineStr">
        <x:is>
          <x:t xml:space="preserve">Да</x:t>
        </x:is>
      </x:c>
      <x:c r="P41" s="62" t="n"/>
    </x:row>
    <x:row r="42">
      <x:c r="A42" s="42" t="n"/>
      <x:c r="B42" s="43" t="n"/>
      <x:c r="C42" s="43" t="n"/>
      <x:c r="D42" s="44" t="n"/>
      <x:c r="E42" s="44" t="n"/>
      <x:c r="F42" s="44" t="n"/>
      <x:c r="G42" s="44" t="n"/>
      <x:c r="H42" s="44" t="n"/>
      <x:c r="I42" s="44" t="n"/>
      <x:c r="J42" s="44" t="n"/>
      <x:c r="K42" s="44" t="n"/>
      <x:c r="L42" s="45" t="n"/>
      <x:c r="M42" s="46" t="n"/>
      <x:c r="N42" s="62">
        <x:f>IF(OR(F42="",H42="",O42="Нет"),"",IF(H42="Вратарь",IF(L42="Да",Scoring!$C$7,IF(K42=1,Scoring!$C$8,IF(K42=2,Scoring!$C$9,Scoring!$C$10)))+IF(M42="",0,M42),N(IF(I42="",0,I42)*Scoring!$C$5)+N(IF(J42="",0,J42)*Scoring!$C$6)+IF(M42="",0,M42)))</x:f>
      </x:c>
      <x:c r="O42" s="62" t="inlineStr">
        <x:is>
          <x:t xml:space="preserve">Да</x:t>
        </x:is>
      </x:c>
      <x:c r="P42" s="62" t="n"/>
    </x:row>
    <x:row r="43">
      <x:c r="A43" s="42" t="n"/>
      <x:c r="B43" s="43" t="n"/>
      <x:c r="C43" s="43" t="n"/>
      <x:c r="D43" s="44" t="n"/>
      <x:c r="E43" s="44" t="n"/>
      <x:c r="F43" s="44" t="n"/>
      <x:c r="G43" s="44" t="n"/>
      <x:c r="H43" s="44" t="n"/>
      <x:c r="I43" s="44" t="n"/>
      <x:c r="J43" s="44" t="n"/>
      <x:c r="K43" s="44" t="n"/>
      <x:c r="L43" s="45" t="n"/>
      <x:c r="M43" s="46" t="n"/>
      <x:c r="N43" s="62">
        <x:f>IF(OR(F43="",H43="",O43="Нет"),"",IF(H43="Вратарь",IF(L43="Да",Scoring!$C$7,IF(K43=1,Scoring!$C$8,IF(K43=2,Scoring!$C$9,Scoring!$C$10)))+IF(M43="",0,M43),N(IF(I43="",0,I43)*Scoring!$C$5)+N(IF(J43="",0,J43)*Scoring!$C$6)+IF(M43="",0,M43)))</x:f>
      </x:c>
      <x:c r="O43" s="62" t="inlineStr">
        <x:is>
          <x:t xml:space="preserve">Да</x:t>
        </x:is>
      </x:c>
      <x:c r="P43" s="62" t="n"/>
    </x:row>
    <x:row r="44">
      <x:c r="A44" s="42" t="n"/>
      <x:c r="B44" s="43" t="n"/>
      <x:c r="C44" s="43" t="n"/>
      <x:c r="D44" s="44" t="n"/>
      <x:c r="E44" s="44" t="n"/>
      <x:c r="F44" s="44" t="n"/>
      <x:c r="G44" s="44" t="n"/>
      <x:c r="H44" s="44" t="n"/>
      <x:c r="I44" s="44" t="n"/>
      <x:c r="J44" s="44" t="n"/>
      <x:c r="K44" s="44" t="n"/>
      <x:c r="L44" s="45" t="n"/>
      <x:c r="M44" s="46" t="n"/>
      <x:c r="N44" s="62">
        <x:f>IF(OR(F44="",H44="",O44="Нет"),"",IF(H44="Вратарь",IF(L44="Да",Scoring!$C$7,IF(K44=1,Scoring!$C$8,IF(K44=2,Scoring!$C$9,Scoring!$C$10)))+IF(M44="",0,M44),N(IF(I44="",0,I44)*Scoring!$C$5)+N(IF(J44="",0,J44)*Scoring!$C$6)+IF(M44="",0,M44)))</x:f>
      </x:c>
      <x:c r="O44" s="62" t="inlineStr">
        <x:is>
          <x:t xml:space="preserve">Да</x:t>
        </x:is>
      </x:c>
      <x:c r="P44" s="62" t="n"/>
    </x:row>
    <x:row r="45">
      <x:c r="A45" s="42" t="n"/>
      <x:c r="B45" s="43" t="n"/>
      <x:c r="C45" s="43" t="n"/>
      <x:c r="D45" s="44" t="n"/>
      <x:c r="E45" s="44" t="n"/>
      <x:c r="F45" s="44" t="n"/>
      <x:c r="G45" s="44" t="n"/>
      <x:c r="H45" s="44" t="n"/>
      <x:c r="I45" s="44" t="n"/>
      <x:c r="J45" s="44" t="n"/>
      <x:c r="K45" s="44" t="n"/>
      <x:c r="L45" s="45" t="n"/>
      <x:c r="M45" s="46" t="n"/>
      <x:c r="N45" s="62">
        <x:f>IF(OR(F45="",H45="",O45="Нет"),"",IF(H45="Вратарь",IF(L45="Да",Scoring!$C$7,IF(K45=1,Scoring!$C$8,IF(K45=2,Scoring!$C$9,Scoring!$C$10)))+IF(M45="",0,M45),N(IF(I45="",0,I45)*Scoring!$C$5)+N(IF(J45="",0,J45)*Scoring!$C$6)+IF(M45="",0,M45)))</x:f>
      </x:c>
      <x:c r="O45" s="62" t="inlineStr">
        <x:is>
          <x:t xml:space="preserve">Да</x:t>
        </x:is>
      </x:c>
      <x:c r="P45" s="62" t="n"/>
    </x:row>
    <x:row r="46">
      <x:c r="A46" s="42" t="n"/>
      <x:c r="B46" s="43" t="n"/>
      <x:c r="C46" s="43" t="n"/>
      <x:c r="D46" s="44" t="n"/>
      <x:c r="E46" s="44" t="n"/>
      <x:c r="F46" s="44" t="n"/>
      <x:c r="G46" s="44" t="n"/>
      <x:c r="H46" s="44" t="n"/>
      <x:c r="I46" s="44" t="n"/>
      <x:c r="J46" s="44" t="n"/>
      <x:c r="K46" s="44" t="n"/>
      <x:c r="L46" s="45" t="n"/>
      <x:c r="M46" s="46" t="n"/>
      <x:c r="N46" s="62">
        <x:f>IF(OR(F46="",H46="",O46="Нет"),"",IF(H46="Вратарь",IF(L46="Да",Scoring!$C$7,IF(K46=1,Scoring!$C$8,IF(K46=2,Scoring!$C$9,Scoring!$C$10)))+IF(M46="",0,M46),N(IF(I46="",0,I46)*Scoring!$C$5)+N(IF(J46="",0,J46)*Scoring!$C$6)+IF(M46="",0,M46)))</x:f>
      </x:c>
      <x:c r="O46" s="62" t="inlineStr">
        <x:is>
          <x:t xml:space="preserve">Да</x:t>
        </x:is>
      </x:c>
      <x:c r="P46" s="62" t="n"/>
    </x:row>
    <x:row r="47">
      <x:c r="A47" s="42" t="n"/>
      <x:c r="B47" s="43" t="n"/>
      <x:c r="C47" s="43" t="n"/>
      <x:c r="D47" s="44" t="n"/>
      <x:c r="E47" s="44" t="n"/>
      <x:c r="F47" s="44" t="n"/>
      <x:c r="G47" s="44" t="n"/>
      <x:c r="H47" s="44" t="n"/>
      <x:c r="I47" s="44" t="n"/>
      <x:c r="J47" s="44" t="n"/>
      <x:c r="K47" s="44" t="n"/>
      <x:c r="L47" s="45" t="n"/>
      <x:c r="M47" s="46" t="n"/>
      <x:c r="N47" s="62">
        <x:f>IF(OR(F47="",H47="",O47="Нет"),"",IF(H47="Вратарь",IF(L47="Да",Scoring!$C$7,IF(K47=1,Scoring!$C$8,IF(K47=2,Scoring!$C$9,Scoring!$C$10)))+IF(M47="",0,M47),N(IF(I47="",0,I47)*Scoring!$C$5)+N(IF(J47="",0,J47)*Scoring!$C$6)+IF(M47="",0,M47)))</x:f>
      </x:c>
      <x:c r="O47" s="62" t="inlineStr">
        <x:is>
          <x:t xml:space="preserve">Да</x:t>
        </x:is>
      </x:c>
      <x:c r="P47" s="62" t="n"/>
    </x:row>
    <x:row r="48">
      <x:c r="A48" s="42" t="n"/>
      <x:c r="B48" s="43" t="n"/>
      <x:c r="C48" s="43" t="n"/>
      <x:c r="D48" s="44" t="n"/>
      <x:c r="E48" s="44" t="n"/>
      <x:c r="F48" s="44" t="n"/>
      <x:c r="G48" s="44" t="n"/>
      <x:c r="H48" s="44" t="n"/>
      <x:c r="I48" s="44" t="n"/>
      <x:c r="J48" s="44" t="n"/>
      <x:c r="K48" s="44" t="n"/>
      <x:c r="L48" s="45" t="n"/>
      <x:c r="M48" s="46" t="n"/>
      <x:c r="N48" s="62">
        <x:f>IF(OR(F48="",H48="",O48="Нет"),"",IF(H48="Вратарь",IF(L48="Да",Scoring!$C$7,IF(K48=1,Scoring!$C$8,IF(K48=2,Scoring!$C$9,Scoring!$C$10)))+IF(M48="",0,M48),N(IF(I48="",0,I48)*Scoring!$C$5)+N(IF(J48="",0,J48)*Scoring!$C$6)+IF(M48="",0,M48)))</x:f>
      </x:c>
      <x:c r="O48" s="62" t="inlineStr">
        <x:is>
          <x:t xml:space="preserve">Да</x:t>
        </x:is>
      </x:c>
      <x:c r="P48" s="62" t="n"/>
    </x:row>
    <x:row r="49">
      <x:c r="A49" s="42" t="n"/>
      <x:c r="B49" s="43" t="n"/>
      <x:c r="C49" s="43" t="n"/>
      <x:c r="D49" s="44" t="n"/>
      <x:c r="E49" s="44" t="n"/>
      <x:c r="F49" s="44" t="n"/>
      <x:c r="G49" s="44" t="n"/>
      <x:c r="H49" s="44" t="n"/>
      <x:c r="I49" s="44" t="n"/>
      <x:c r="J49" s="44" t="n"/>
      <x:c r="K49" s="44" t="n"/>
      <x:c r="L49" s="45" t="n"/>
      <x:c r="M49" s="46" t="n"/>
      <x:c r="N49" s="62">
        <x:f>IF(OR(F49="",H49="",O49="Нет"),"",IF(H49="Вратарь",IF(L49="Да",Scoring!$C$7,IF(K49=1,Scoring!$C$8,IF(K49=2,Scoring!$C$9,Scoring!$C$10)))+IF(M49="",0,M49),N(IF(I49="",0,I49)*Scoring!$C$5)+N(IF(J49="",0,J49)*Scoring!$C$6)+IF(M49="",0,M49)))</x:f>
      </x:c>
      <x:c r="O49" s="62" t="inlineStr">
        <x:is>
          <x:t xml:space="preserve">Да</x:t>
        </x:is>
      </x:c>
      <x:c r="P49" s="62" t="n"/>
    </x:row>
    <x:row r="50">
      <x:c r="A50" s="42" t="n"/>
      <x:c r="B50" s="43" t="n"/>
      <x:c r="C50" s="43" t="n"/>
      <x:c r="D50" s="44" t="n"/>
      <x:c r="E50" s="44" t="n"/>
      <x:c r="F50" s="44" t="n"/>
      <x:c r="G50" s="44" t="n"/>
      <x:c r="H50" s="44" t="n"/>
      <x:c r="I50" s="44" t="n"/>
      <x:c r="J50" s="44" t="n"/>
      <x:c r="K50" s="44" t="n"/>
      <x:c r="L50" s="45" t="n"/>
      <x:c r="M50" s="46" t="n"/>
      <x:c r="N50" s="62">
        <x:f>IF(OR(F50="",H50="",O50="Нет"),"",IF(H50="Вратарь",IF(L50="Да",Scoring!$C$7,IF(K50=1,Scoring!$C$8,IF(K50=2,Scoring!$C$9,Scoring!$C$10)))+IF(M50="",0,M50),N(IF(I50="",0,I50)*Scoring!$C$5)+N(IF(J50="",0,J50)*Scoring!$C$6)+IF(M50="",0,M50)))</x:f>
      </x:c>
      <x:c r="O50" s="62" t="inlineStr">
        <x:is>
          <x:t xml:space="preserve">Да</x:t>
        </x:is>
      </x:c>
      <x:c r="P50" s="62" t="n"/>
    </x:row>
    <x:row r="51">
      <x:c r="A51" s="42" t="n"/>
      <x:c r="B51" s="43" t="n"/>
      <x:c r="C51" s="43" t="n"/>
      <x:c r="D51" s="44" t="n"/>
      <x:c r="E51" s="44" t="n"/>
      <x:c r="F51" s="44" t="n"/>
      <x:c r="G51" s="44" t="n"/>
      <x:c r="H51" s="44" t="n"/>
      <x:c r="I51" s="44" t="n"/>
      <x:c r="J51" s="44" t="n"/>
      <x:c r="K51" s="44" t="n"/>
      <x:c r="L51" s="45" t="n"/>
      <x:c r="M51" s="46" t="n"/>
      <x:c r="N51" s="62">
        <x:f>IF(OR(F51="",H51="",O51="Нет"),"",IF(H51="Вратарь",IF(L51="Да",Scoring!$C$7,IF(K51=1,Scoring!$C$8,IF(K51=2,Scoring!$C$9,Scoring!$C$10)))+IF(M51="",0,M51),N(IF(I51="",0,I51)*Scoring!$C$5)+N(IF(J51="",0,J51)*Scoring!$C$6)+IF(M51="",0,M51)))</x:f>
      </x:c>
      <x:c r="O51" s="62" t="inlineStr">
        <x:is>
          <x:t xml:space="preserve">Да</x:t>
        </x:is>
      </x:c>
      <x:c r="P51" s="62" t="n"/>
    </x:row>
    <x:row r="52">
      <x:c r="A52" s="42" t="n"/>
      <x:c r="B52" s="43" t="n"/>
      <x:c r="C52" s="43" t="n"/>
      <x:c r="D52" s="44" t="n"/>
      <x:c r="E52" s="44" t="n"/>
      <x:c r="F52" s="44" t="n"/>
      <x:c r="G52" s="44" t="n"/>
      <x:c r="H52" s="44" t="n"/>
      <x:c r="I52" s="44" t="n"/>
      <x:c r="J52" s="44" t="n"/>
      <x:c r="K52" s="44" t="n"/>
      <x:c r="L52" s="45" t="n"/>
      <x:c r="M52" s="46" t="n"/>
      <x:c r="N52" s="62">
        <x:f>IF(OR(F52="",H52="",O52="Нет"),"",IF(H52="Вратарь",IF(L52="Да",Scoring!$C$7,IF(K52=1,Scoring!$C$8,IF(K52=2,Scoring!$C$9,Scoring!$C$10)))+IF(M52="",0,M52),N(IF(I52="",0,I52)*Scoring!$C$5)+N(IF(J52="",0,J52)*Scoring!$C$6)+IF(M52="",0,M52)))</x:f>
      </x:c>
      <x:c r="O52" s="62" t="inlineStr">
        <x:is>
          <x:t xml:space="preserve">Да</x:t>
        </x:is>
      </x:c>
      <x:c r="P52" s="62" t="n"/>
    </x:row>
    <x:row r="53">
      <x:c r="A53" s="42" t="n"/>
      <x:c r="B53" s="43" t="n"/>
      <x:c r="C53" s="43" t="n"/>
      <x:c r="D53" s="44" t="n"/>
      <x:c r="E53" s="44" t="n"/>
      <x:c r="F53" s="44" t="n"/>
      <x:c r="G53" s="44" t="n"/>
      <x:c r="H53" s="44" t="n"/>
      <x:c r="I53" s="44" t="n"/>
      <x:c r="J53" s="44" t="n"/>
      <x:c r="K53" s="44" t="n"/>
      <x:c r="L53" s="45" t="n"/>
      <x:c r="M53" s="46" t="n"/>
      <x:c r="N53" s="62">
        <x:f>IF(OR(F53="",H53="",O53="Нет"),"",IF(H53="Вратарь",IF(L53="Да",Scoring!$C$7,IF(K53=1,Scoring!$C$8,IF(K53=2,Scoring!$C$9,Scoring!$C$10)))+IF(M53="",0,M53),N(IF(I53="",0,I53)*Scoring!$C$5)+N(IF(J53="",0,J53)*Scoring!$C$6)+IF(M53="",0,M53)))</x:f>
      </x:c>
      <x:c r="O53" s="62" t="inlineStr">
        <x:is>
          <x:t xml:space="preserve">Да</x:t>
        </x:is>
      </x:c>
      <x:c r="P53" s="62" t="n"/>
    </x:row>
    <x:row r="54">
      <x:c r="A54" s="42" t="n"/>
      <x:c r="B54" s="43" t="n"/>
      <x:c r="C54" s="43" t="n"/>
      <x:c r="D54" s="44" t="n"/>
      <x:c r="E54" s="44" t="n"/>
      <x:c r="F54" s="44" t="n"/>
      <x:c r="G54" s="44" t="n"/>
      <x:c r="H54" s="44" t="n"/>
      <x:c r="I54" s="44" t="n"/>
      <x:c r="J54" s="44" t="n"/>
      <x:c r="K54" s="44" t="n"/>
      <x:c r="L54" s="45" t="n"/>
      <x:c r="M54" s="46" t="n"/>
      <x:c r="N54" s="62">
        <x:f>IF(OR(F54="",H54="",O54="Нет"),"",IF(H54="Вратарь",IF(L54="Да",Scoring!$C$7,IF(K54=1,Scoring!$C$8,IF(K54=2,Scoring!$C$9,Scoring!$C$10)))+IF(M54="",0,M54),N(IF(I54="",0,I54)*Scoring!$C$5)+N(IF(J54="",0,J54)*Scoring!$C$6)+IF(M54="",0,M54)))</x:f>
      </x:c>
      <x:c r="O54" s="62" t="inlineStr">
        <x:is>
          <x:t xml:space="preserve">Да</x:t>
        </x:is>
      </x:c>
      <x:c r="P54" s="62" t="n"/>
    </x:row>
    <x:row r="55">
      <x:c r="A55" s="42" t="n"/>
      <x:c r="B55" s="43" t="n"/>
      <x:c r="C55" s="43" t="n"/>
      <x:c r="D55" s="44" t="n"/>
      <x:c r="E55" s="44" t="n"/>
      <x:c r="F55" s="44" t="n"/>
      <x:c r="G55" s="44" t="n"/>
      <x:c r="H55" s="44" t="n"/>
      <x:c r="I55" s="44" t="n"/>
      <x:c r="J55" s="44" t="n"/>
      <x:c r="K55" s="44" t="n"/>
      <x:c r="L55" s="45" t="n"/>
      <x:c r="M55" s="46" t="n"/>
      <x:c r="N55" s="62">
        <x:f>IF(OR(F55="",H55="",O55="Нет"),"",IF(H55="Вратарь",IF(L55="Да",Scoring!$C$7,IF(K55=1,Scoring!$C$8,IF(K55=2,Scoring!$C$9,Scoring!$C$10)))+IF(M55="",0,M55),N(IF(I55="",0,I55)*Scoring!$C$5)+N(IF(J55="",0,J55)*Scoring!$C$6)+IF(M55="",0,M55)))</x:f>
      </x:c>
      <x:c r="O55" s="62" t="inlineStr">
        <x:is>
          <x:t xml:space="preserve">Да</x:t>
        </x:is>
      </x:c>
      <x:c r="P55" s="62" t="n"/>
    </x:row>
    <x:row r="56">
      <x:c r="A56" s="42" t="n"/>
      <x:c r="B56" s="43" t="n"/>
      <x:c r="C56" s="43" t="n"/>
      <x:c r="D56" s="44" t="n"/>
      <x:c r="E56" s="44" t="n"/>
      <x:c r="F56" s="44" t="n"/>
      <x:c r="G56" s="44" t="n"/>
      <x:c r="H56" s="44" t="n"/>
      <x:c r="I56" s="44" t="n"/>
      <x:c r="J56" s="44" t="n"/>
      <x:c r="K56" s="44" t="n"/>
      <x:c r="L56" s="45" t="n"/>
      <x:c r="M56" s="46" t="n"/>
      <x:c r="N56" s="62">
        <x:f>IF(OR(F56="",H56="",O56="Нет"),"",IF(H56="Вратарь",IF(L56="Да",Scoring!$C$7,IF(K56=1,Scoring!$C$8,IF(K56=2,Scoring!$C$9,Scoring!$C$10)))+IF(M56="",0,M56),N(IF(I56="",0,I56)*Scoring!$C$5)+N(IF(J56="",0,J56)*Scoring!$C$6)+IF(M56="",0,M56)))</x:f>
      </x:c>
      <x:c r="O56" s="62" t="inlineStr">
        <x:is>
          <x:t xml:space="preserve">Да</x:t>
        </x:is>
      </x:c>
      <x:c r="P56" s="62" t="n"/>
    </x:row>
    <x:row r="57">
      <x:c r="A57" s="42" t="n"/>
      <x:c r="B57" s="43" t="n"/>
      <x:c r="C57" s="43" t="n"/>
      <x:c r="D57" s="44" t="n"/>
      <x:c r="E57" s="44" t="n"/>
      <x:c r="F57" s="44" t="n"/>
      <x:c r="G57" s="44" t="n"/>
      <x:c r="H57" s="44" t="n"/>
      <x:c r="I57" s="44" t="n"/>
      <x:c r="J57" s="44" t="n"/>
      <x:c r="K57" s="44" t="n"/>
      <x:c r="L57" s="45" t="n"/>
      <x:c r="M57" s="46" t="n"/>
      <x:c r="N57" s="62">
        <x:f>IF(OR(F57="",H57="",O57="Нет"),"",IF(H57="Вратарь",IF(L57="Да",Scoring!$C$7,IF(K57=1,Scoring!$C$8,IF(K57=2,Scoring!$C$9,Scoring!$C$10)))+IF(M57="",0,M57),N(IF(I57="",0,I57)*Scoring!$C$5)+N(IF(J57="",0,J57)*Scoring!$C$6)+IF(M57="",0,M57)))</x:f>
      </x:c>
      <x:c r="O57" s="62" t="inlineStr">
        <x:is>
          <x:t xml:space="preserve">Да</x:t>
        </x:is>
      </x:c>
      <x:c r="P57" s="62" t="n"/>
    </x:row>
    <x:row r="58">
      <x:c r="A58" s="42" t="n"/>
      <x:c r="B58" s="43" t="n"/>
      <x:c r="C58" s="43" t="n"/>
      <x:c r="D58" s="44" t="n"/>
      <x:c r="E58" s="44" t="n"/>
      <x:c r="F58" s="44" t="n"/>
      <x:c r="G58" s="44" t="n"/>
      <x:c r="H58" s="44" t="n"/>
      <x:c r="I58" s="44" t="n"/>
      <x:c r="J58" s="44" t="n"/>
      <x:c r="K58" s="44" t="n"/>
      <x:c r="L58" s="45" t="n"/>
      <x:c r="M58" s="46" t="n"/>
      <x:c r="N58" s="62">
        <x:f>IF(OR(F58="",H58="",O58="Нет"),"",IF(H58="Вратарь",IF(L58="Да",Scoring!$C$7,IF(K58=1,Scoring!$C$8,IF(K58=2,Scoring!$C$9,Scoring!$C$10)))+IF(M58="",0,M58),N(IF(I58="",0,I58)*Scoring!$C$5)+N(IF(J58="",0,J58)*Scoring!$C$6)+IF(M58="",0,M58)))</x:f>
      </x:c>
      <x:c r="O58" s="62" t="inlineStr">
        <x:is>
          <x:t xml:space="preserve">Да</x:t>
        </x:is>
      </x:c>
      <x:c r="P58" s="62" t="n"/>
    </x:row>
    <x:row r="59">
      <x:c r="A59" s="42" t="n"/>
      <x:c r="B59" s="43" t="n"/>
      <x:c r="C59" s="43" t="n"/>
      <x:c r="D59" s="44" t="n"/>
      <x:c r="E59" s="44" t="n"/>
      <x:c r="F59" s="44" t="n"/>
      <x:c r="G59" s="44" t="n"/>
      <x:c r="H59" s="44" t="n"/>
      <x:c r="I59" s="44" t="n"/>
      <x:c r="J59" s="44" t="n"/>
      <x:c r="K59" s="44" t="n"/>
      <x:c r="L59" s="45" t="n"/>
      <x:c r="M59" s="46" t="n"/>
      <x:c r="N59" s="62">
        <x:f>IF(OR(F59="",H59="",O59="Нет"),"",IF(H59="Вратарь",IF(L59="Да",Scoring!$C$7,IF(K59=1,Scoring!$C$8,IF(K59=2,Scoring!$C$9,Scoring!$C$10)))+IF(M59="",0,M59),N(IF(I59="",0,I59)*Scoring!$C$5)+N(IF(J59="",0,J59)*Scoring!$C$6)+IF(M59="",0,M59)))</x:f>
      </x:c>
      <x:c r="O59" s="62" t="inlineStr">
        <x:is>
          <x:t xml:space="preserve">Да</x:t>
        </x:is>
      </x:c>
      <x:c r="P59" s="62" t="n"/>
    </x:row>
    <x:row r="60">
      <x:c r="A60" s="42" t="n"/>
      <x:c r="B60" s="43" t="n"/>
      <x:c r="C60" s="43" t="n"/>
      <x:c r="D60" s="44" t="n"/>
      <x:c r="E60" s="44" t="n"/>
      <x:c r="F60" s="44" t="n"/>
      <x:c r="G60" s="44" t="n"/>
      <x:c r="H60" s="44" t="n"/>
      <x:c r="I60" s="44" t="n"/>
      <x:c r="J60" s="44" t="n"/>
      <x:c r="K60" s="44" t="n"/>
      <x:c r="L60" s="45" t="n"/>
      <x:c r="M60" s="46" t="n"/>
      <x:c r="N60" s="62">
        <x:f>IF(OR(F60="",H60="",O60="Нет"),"",IF(H60="Вратарь",IF(L60="Да",Scoring!$C$7,IF(K60=1,Scoring!$C$8,IF(K60=2,Scoring!$C$9,Scoring!$C$10)))+IF(M60="",0,M60),N(IF(I60="",0,I60)*Scoring!$C$5)+N(IF(J60="",0,J60)*Scoring!$C$6)+IF(M60="",0,M60)))</x:f>
      </x:c>
      <x:c r="O60" s="62" t="inlineStr">
        <x:is>
          <x:t xml:space="preserve">Да</x:t>
        </x:is>
      </x:c>
      <x:c r="P60" s="62" t="n"/>
    </x:row>
    <x:row r="61">
      <x:c r="A61" s="42" t="n"/>
      <x:c r="B61" s="43" t="n"/>
      <x:c r="C61" s="43" t="n"/>
      <x:c r="D61" s="44" t="n"/>
      <x:c r="E61" s="44" t="n"/>
      <x:c r="F61" s="44" t="n"/>
      <x:c r="G61" s="44" t="n"/>
      <x:c r="H61" s="44" t="n"/>
      <x:c r="I61" s="44" t="n"/>
      <x:c r="J61" s="44" t="n"/>
      <x:c r="K61" s="44" t="n"/>
      <x:c r="L61" s="45" t="n"/>
      <x:c r="M61" s="46" t="n"/>
      <x:c r="N61" s="62">
        <x:f>IF(OR(F61="",H61="",O61="Нет"),"",IF(H61="Вратарь",IF(L61="Да",Scoring!$C$7,IF(K61=1,Scoring!$C$8,IF(K61=2,Scoring!$C$9,Scoring!$C$10)))+IF(M61="",0,M61),N(IF(I61="",0,I61)*Scoring!$C$5)+N(IF(J61="",0,J61)*Scoring!$C$6)+IF(M61="",0,M61)))</x:f>
      </x:c>
      <x:c r="O61" s="62" t="inlineStr">
        <x:is>
          <x:t xml:space="preserve">Да</x:t>
        </x:is>
      </x:c>
      <x:c r="P61" s="62" t="n"/>
    </x:row>
    <x:row r="62">
      <x:c r="A62" s="42" t="n"/>
      <x:c r="B62" s="43" t="n"/>
      <x:c r="C62" s="43" t="n"/>
      <x:c r="D62" s="44" t="n"/>
      <x:c r="E62" s="44" t="n"/>
      <x:c r="F62" s="44" t="n"/>
      <x:c r="G62" s="44" t="n"/>
      <x:c r="H62" s="44" t="n"/>
      <x:c r="I62" s="44" t="n"/>
      <x:c r="J62" s="44" t="n"/>
      <x:c r="K62" s="44" t="n"/>
      <x:c r="L62" s="45" t="n"/>
      <x:c r="M62" s="46" t="n"/>
      <x:c r="N62" s="62">
        <x:f>IF(OR(F62="",H62="",O62="Нет"),"",IF(H62="Вратарь",IF(L62="Да",Scoring!$C$7,IF(K62=1,Scoring!$C$8,IF(K62=2,Scoring!$C$9,Scoring!$C$10)))+IF(M62="",0,M62),N(IF(I62="",0,I62)*Scoring!$C$5)+N(IF(J62="",0,J62)*Scoring!$C$6)+IF(M62="",0,M62)))</x:f>
      </x:c>
      <x:c r="O62" s="62" t="inlineStr">
        <x:is>
          <x:t xml:space="preserve">Да</x:t>
        </x:is>
      </x:c>
      <x:c r="P62" s="62" t="n"/>
    </x:row>
    <x:row r="63">
      <x:c r="A63" s="42" t="n"/>
      <x:c r="B63" s="43" t="n"/>
      <x:c r="C63" s="43" t="n"/>
      <x:c r="D63" s="44" t="n"/>
      <x:c r="E63" s="44" t="n"/>
      <x:c r="F63" s="44" t="n"/>
      <x:c r="G63" s="44" t="n"/>
      <x:c r="H63" s="44" t="n"/>
      <x:c r="I63" s="44" t="n"/>
      <x:c r="J63" s="44" t="n"/>
      <x:c r="K63" s="44" t="n"/>
      <x:c r="L63" s="45" t="n"/>
      <x:c r="M63" s="46" t="n"/>
      <x:c r="N63" s="62">
        <x:f>IF(OR(F63="",H63="",O63="Нет"),"",IF(H63="Вратарь",IF(L63="Да",Scoring!$C$7,IF(K63=1,Scoring!$C$8,IF(K63=2,Scoring!$C$9,Scoring!$C$10)))+IF(M63="",0,M63),N(IF(I63="",0,I63)*Scoring!$C$5)+N(IF(J63="",0,J63)*Scoring!$C$6)+IF(M63="",0,M63)))</x:f>
      </x:c>
      <x:c r="O63" s="62" t="inlineStr">
        <x:is>
          <x:t xml:space="preserve">Да</x:t>
        </x:is>
      </x:c>
      <x:c r="P63" s="62" t="n"/>
    </x:row>
    <x:row r="64">
      <x:c r="A64" s="42" t="n"/>
      <x:c r="B64" s="43" t="n"/>
      <x:c r="C64" s="43" t="n"/>
      <x:c r="D64" s="44" t="n"/>
      <x:c r="E64" s="44" t="n"/>
      <x:c r="F64" s="44" t="n"/>
      <x:c r="G64" s="44" t="n"/>
      <x:c r="H64" s="44" t="n"/>
      <x:c r="I64" s="44" t="n"/>
      <x:c r="J64" s="44" t="n"/>
      <x:c r="K64" s="44" t="n"/>
      <x:c r="L64" s="45" t="n"/>
      <x:c r="M64" s="46" t="n"/>
      <x:c r="N64" s="62">
        <x:f>IF(OR(F64="",H64="",O64="Нет"),"",IF(H64="Вратарь",IF(L64="Да",Scoring!$C$7,IF(K64=1,Scoring!$C$8,IF(K64=2,Scoring!$C$9,Scoring!$C$10)))+IF(M64="",0,M64),N(IF(I64="",0,I64)*Scoring!$C$5)+N(IF(J64="",0,J64)*Scoring!$C$6)+IF(M64="",0,M64)))</x:f>
      </x:c>
      <x:c r="O64" s="62" t="inlineStr">
        <x:is>
          <x:t xml:space="preserve">Да</x:t>
        </x:is>
      </x:c>
      <x:c r="P64" s="62" t="n"/>
    </x:row>
    <x:row r="65">
      <x:c r="A65" s="42" t="n"/>
      <x:c r="B65" s="43" t="n"/>
      <x:c r="C65" s="43" t="n"/>
      <x:c r="D65" s="44" t="n"/>
      <x:c r="E65" s="44" t="n"/>
      <x:c r="F65" s="44" t="n"/>
      <x:c r="G65" s="44" t="n"/>
      <x:c r="H65" s="44" t="n"/>
      <x:c r="I65" s="44" t="n"/>
      <x:c r="J65" s="44" t="n"/>
      <x:c r="K65" s="44" t="n"/>
      <x:c r="L65" s="45" t="n"/>
      <x:c r="M65" s="46" t="n"/>
      <x:c r="N65" s="62">
        <x:f>IF(OR(F65="",H65="",O65="Нет"),"",IF(H65="Вратарь",IF(L65="Да",Scoring!$C$7,IF(K65=1,Scoring!$C$8,IF(K65=2,Scoring!$C$9,Scoring!$C$10)))+IF(M65="",0,M65),N(IF(I65="",0,I65)*Scoring!$C$5)+N(IF(J65="",0,J65)*Scoring!$C$6)+IF(M65="",0,M65)))</x:f>
      </x:c>
      <x:c r="O65" s="62" t="inlineStr">
        <x:is>
          <x:t xml:space="preserve">Да</x:t>
        </x:is>
      </x:c>
      <x:c r="P65" s="62" t="n"/>
    </x:row>
    <x:row r="66">
      <x:c r="A66" s="42" t="n"/>
      <x:c r="B66" s="43" t="n"/>
      <x:c r="C66" s="43" t="n"/>
      <x:c r="D66" s="44" t="n"/>
      <x:c r="E66" s="44" t="n"/>
      <x:c r="F66" s="44" t="n"/>
      <x:c r="G66" s="44" t="n"/>
      <x:c r="H66" s="44" t="n"/>
      <x:c r="I66" s="44" t="n"/>
      <x:c r="J66" s="44" t="n"/>
      <x:c r="K66" s="44" t="n"/>
      <x:c r="L66" s="45" t="n"/>
      <x:c r="M66" s="46" t="n"/>
      <x:c r="N66" s="62">
        <x:f>IF(OR(F66="",H66="",O66="Нет"),"",IF(H66="Вратарь",IF(L66="Да",Scoring!$C$7,IF(K66=1,Scoring!$C$8,IF(K66=2,Scoring!$C$9,Scoring!$C$10)))+IF(M66="",0,M66),N(IF(I66="",0,I66)*Scoring!$C$5)+N(IF(J66="",0,J66)*Scoring!$C$6)+IF(M66="",0,M66)))</x:f>
      </x:c>
      <x:c r="O66" s="62" t="inlineStr">
        <x:is>
          <x:t xml:space="preserve">Да</x:t>
        </x:is>
      </x:c>
      <x:c r="P66" s="62" t="n"/>
    </x:row>
    <x:row r="67">
      <x:c r="A67" s="42" t="n"/>
      <x:c r="B67" s="43" t="n"/>
      <x:c r="C67" s="43" t="n"/>
      <x:c r="D67" s="44" t="n"/>
      <x:c r="E67" s="44" t="n"/>
      <x:c r="F67" s="44" t="n"/>
      <x:c r="G67" s="44" t="n"/>
      <x:c r="H67" s="44" t="n"/>
      <x:c r="I67" s="44" t="n"/>
      <x:c r="J67" s="44" t="n"/>
      <x:c r="K67" s="44" t="n"/>
      <x:c r="L67" s="45" t="n"/>
      <x:c r="M67" s="46" t="n"/>
      <x:c r="N67" s="62">
        <x:f>IF(OR(F67="",H67="",O67="Нет"),"",IF(H67="Вратарь",IF(L67="Да",Scoring!$C$7,IF(K67=1,Scoring!$C$8,IF(K67=2,Scoring!$C$9,Scoring!$C$10)))+IF(M67="",0,M67),N(IF(I67="",0,I67)*Scoring!$C$5)+N(IF(J67="",0,J67)*Scoring!$C$6)+IF(M67="",0,M67)))</x:f>
      </x:c>
      <x:c r="O67" s="62" t="inlineStr">
        <x:is>
          <x:t xml:space="preserve">Да</x:t>
        </x:is>
      </x:c>
      <x:c r="P67" s="62" t="n"/>
    </x:row>
    <x:row r="68">
      <x:c r="A68" s="42" t="n"/>
      <x:c r="B68" s="43" t="n"/>
      <x:c r="C68" s="43" t="n"/>
      <x:c r="D68" s="44" t="n"/>
      <x:c r="E68" s="44" t="n"/>
      <x:c r="F68" s="44" t="n"/>
      <x:c r="G68" s="44" t="n"/>
      <x:c r="H68" s="44" t="n"/>
      <x:c r="I68" s="44" t="n"/>
      <x:c r="J68" s="44" t="n"/>
      <x:c r="K68" s="44" t="n"/>
      <x:c r="L68" s="45" t="n"/>
      <x:c r="M68" s="46" t="n"/>
      <x:c r="N68" s="62">
        <x:f>IF(OR(F68="",H68="",O68="Нет"),"",IF(H68="Вратарь",IF(L68="Да",Scoring!$C$7,IF(K68=1,Scoring!$C$8,IF(K68=2,Scoring!$C$9,Scoring!$C$10)))+IF(M68="",0,M68),N(IF(I68="",0,I68)*Scoring!$C$5)+N(IF(J68="",0,J68)*Scoring!$C$6)+IF(M68="",0,M68)))</x:f>
      </x:c>
      <x:c r="O68" s="62" t="inlineStr">
        <x:is>
          <x:t xml:space="preserve">Да</x:t>
        </x:is>
      </x:c>
      <x:c r="P68" s="62" t="n"/>
    </x:row>
    <x:row r="69">
      <x:c r="A69" s="42" t="n"/>
      <x:c r="B69" s="43" t="n"/>
      <x:c r="C69" s="43" t="n"/>
      <x:c r="D69" s="44" t="n"/>
      <x:c r="E69" s="44" t="n"/>
      <x:c r="F69" s="44" t="n"/>
      <x:c r="G69" s="44" t="n"/>
      <x:c r="H69" s="44" t="n"/>
      <x:c r="I69" s="44" t="n"/>
      <x:c r="J69" s="44" t="n"/>
      <x:c r="K69" s="44" t="n"/>
      <x:c r="L69" s="45" t="n"/>
      <x:c r="M69" s="46" t="n"/>
      <x:c r="N69" s="62">
        <x:f>IF(OR(F69="",H69="",O69="Нет"),"",IF(H69="Вратарь",IF(L69="Да",Scoring!$C$7,IF(K69=1,Scoring!$C$8,IF(K69=2,Scoring!$C$9,Scoring!$C$10)))+IF(M69="",0,M69),N(IF(I69="",0,I69)*Scoring!$C$5)+N(IF(J69="",0,J69)*Scoring!$C$6)+IF(M69="",0,M69)))</x:f>
      </x:c>
      <x:c r="O69" s="62" t="inlineStr">
        <x:is>
          <x:t xml:space="preserve">Да</x:t>
        </x:is>
      </x:c>
      <x:c r="P69" s="62" t="n"/>
    </x:row>
    <x:row r="70">
      <x:c r="A70" s="42" t="n"/>
      <x:c r="B70" s="43" t="n"/>
      <x:c r="C70" s="43" t="n"/>
      <x:c r="D70" s="44" t="n"/>
      <x:c r="E70" s="44" t="n"/>
      <x:c r="F70" s="44" t="n"/>
      <x:c r="G70" s="44" t="n"/>
      <x:c r="H70" s="44" t="n"/>
      <x:c r="I70" s="44" t="n"/>
      <x:c r="J70" s="44" t="n"/>
      <x:c r="K70" s="44" t="n"/>
      <x:c r="L70" s="45" t="n"/>
      <x:c r="M70" s="46" t="n"/>
      <x:c r="N70" s="62">
        <x:f>IF(OR(F70="",H70="",O70="Нет"),"",IF(H70="Вратарь",IF(L70="Да",Scoring!$C$7,IF(K70=1,Scoring!$C$8,IF(K70=2,Scoring!$C$9,Scoring!$C$10)))+IF(M70="",0,M70),N(IF(I70="",0,I70)*Scoring!$C$5)+N(IF(J70="",0,J70)*Scoring!$C$6)+IF(M70="",0,M70)))</x:f>
      </x:c>
      <x:c r="O70" s="62" t="inlineStr">
        <x:is>
          <x:t xml:space="preserve">Да</x:t>
        </x:is>
      </x:c>
      <x:c r="P70" s="62" t="n"/>
    </x:row>
    <x:row r="71">
      <x:c r="A71" s="42" t="n"/>
      <x:c r="B71" s="43" t="n"/>
      <x:c r="C71" s="43" t="n"/>
      <x:c r="D71" s="44" t="n"/>
      <x:c r="E71" s="44" t="n"/>
      <x:c r="F71" s="44" t="n"/>
      <x:c r="G71" s="44" t="n"/>
      <x:c r="H71" s="44" t="n"/>
      <x:c r="I71" s="44" t="n"/>
      <x:c r="J71" s="44" t="n"/>
      <x:c r="K71" s="44" t="n"/>
      <x:c r="L71" s="45" t="n"/>
      <x:c r="M71" s="46" t="n"/>
      <x:c r="N71" s="62">
        <x:f>IF(OR(F71="",H71="",O71="Нет"),"",IF(H71="Вратарь",IF(L71="Да",Scoring!$C$7,IF(K71=1,Scoring!$C$8,IF(K71=2,Scoring!$C$9,Scoring!$C$10)))+IF(M71="",0,M71),N(IF(I71="",0,I71)*Scoring!$C$5)+N(IF(J71="",0,J71)*Scoring!$C$6)+IF(M71="",0,M71)))</x:f>
      </x:c>
      <x:c r="O71" s="62" t="inlineStr">
        <x:is>
          <x:t xml:space="preserve">Да</x:t>
        </x:is>
      </x:c>
      <x:c r="P71" s="62" t="n"/>
    </x:row>
    <x:row r="72">
      <x:c r="A72" s="42" t="n"/>
      <x:c r="B72" s="43" t="n"/>
      <x:c r="C72" s="43" t="n"/>
      <x:c r="D72" s="44" t="n"/>
      <x:c r="E72" s="44" t="n"/>
      <x:c r="F72" s="44" t="n"/>
      <x:c r="G72" s="44" t="n"/>
      <x:c r="H72" s="44" t="n"/>
      <x:c r="I72" s="44" t="n"/>
      <x:c r="J72" s="44" t="n"/>
      <x:c r="K72" s="44" t="n"/>
      <x:c r="L72" s="45" t="n"/>
      <x:c r="M72" s="46" t="n"/>
      <x:c r="N72" s="62">
        <x:f>IF(OR(F72="",H72="",O72="Нет"),"",IF(H72="Вратарь",IF(L72="Да",Scoring!$C$7,IF(K72=1,Scoring!$C$8,IF(K72=2,Scoring!$C$9,Scoring!$C$10)))+IF(M72="",0,M72),N(IF(I72="",0,I72)*Scoring!$C$5)+N(IF(J72="",0,J72)*Scoring!$C$6)+IF(M72="",0,M72)))</x:f>
      </x:c>
      <x:c r="O72" s="62" t="inlineStr">
        <x:is>
          <x:t xml:space="preserve">Да</x:t>
        </x:is>
      </x:c>
      <x:c r="P72" s="62" t="n"/>
    </x:row>
    <x:row r="73">
      <x:c r="A73" s="42" t="n"/>
      <x:c r="B73" s="43" t="n"/>
      <x:c r="C73" s="43" t="n"/>
      <x:c r="D73" s="44" t="n"/>
      <x:c r="E73" s="44" t="n"/>
      <x:c r="F73" s="44" t="n"/>
      <x:c r="G73" s="44" t="n"/>
      <x:c r="H73" s="44" t="n"/>
      <x:c r="I73" s="44" t="n"/>
      <x:c r="J73" s="44" t="n"/>
      <x:c r="K73" s="44" t="n"/>
      <x:c r="L73" s="45" t="n"/>
      <x:c r="M73" s="46" t="n"/>
      <x:c r="N73" s="62">
        <x:f>IF(OR(F73="",H73="",O73="Нет"),"",IF(H73="Вратарь",IF(L73="Да",Scoring!$C$7,IF(K73=1,Scoring!$C$8,IF(K73=2,Scoring!$C$9,Scoring!$C$10)))+IF(M73="",0,M73),N(IF(I73="",0,I73)*Scoring!$C$5)+N(IF(J73="",0,J73)*Scoring!$C$6)+IF(M73="",0,M73)))</x:f>
      </x:c>
      <x:c r="O73" s="62" t="inlineStr">
        <x:is>
          <x:t xml:space="preserve">Да</x:t>
        </x:is>
      </x:c>
      <x:c r="P73" s="62" t="n"/>
    </x:row>
    <x:row r="74">
      <x:c r="A74" s="42" t="n"/>
      <x:c r="B74" s="43" t="n"/>
      <x:c r="C74" s="43" t="n"/>
      <x:c r="D74" s="44" t="n"/>
      <x:c r="E74" s="44" t="n"/>
      <x:c r="F74" s="44" t="n"/>
      <x:c r="G74" s="44" t="n"/>
      <x:c r="H74" s="44" t="n"/>
      <x:c r="I74" s="44" t="n"/>
      <x:c r="J74" s="44" t="n"/>
      <x:c r="K74" s="44" t="n"/>
      <x:c r="L74" s="45" t="n"/>
      <x:c r="M74" s="46" t="n"/>
      <x:c r="N74" s="62">
        <x:f>IF(OR(F74="",H74="",O74="Нет"),"",IF(H74="Вратарь",IF(L74="Да",Scoring!$C$7,IF(K74=1,Scoring!$C$8,IF(K74=2,Scoring!$C$9,Scoring!$C$10)))+IF(M74="",0,M74),N(IF(I74="",0,I74)*Scoring!$C$5)+N(IF(J74="",0,J74)*Scoring!$C$6)+IF(M74="",0,M74)))</x:f>
      </x:c>
      <x:c r="O74" s="62" t="inlineStr">
        <x:is>
          <x:t xml:space="preserve">Да</x:t>
        </x:is>
      </x:c>
      <x:c r="P74" s="62" t="n"/>
    </x:row>
    <x:row r="75">
      <x:c r="A75" s="42" t="n"/>
      <x:c r="B75" s="43" t="n"/>
      <x:c r="C75" s="43" t="n"/>
      <x:c r="D75" s="44" t="n"/>
      <x:c r="E75" s="44" t="n"/>
      <x:c r="F75" s="44" t="n"/>
      <x:c r="G75" s="44" t="n"/>
      <x:c r="H75" s="44" t="n"/>
      <x:c r="I75" s="44" t="n"/>
      <x:c r="J75" s="44" t="n"/>
      <x:c r="K75" s="44" t="n"/>
      <x:c r="L75" s="45" t="n"/>
      <x:c r="M75" s="46" t="n"/>
      <x:c r="N75" s="62">
        <x:f>IF(OR(F75="",H75="",O75="Нет"),"",IF(H75="Вратарь",IF(L75="Да",Scoring!$C$7,IF(K75=1,Scoring!$C$8,IF(K75=2,Scoring!$C$9,Scoring!$C$10)))+IF(M75="",0,M75),N(IF(I75="",0,I75)*Scoring!$C$5)+N(IF(J75="",0,J75)*Scoring!$C$6)+IF(M75="",0,M75)))</x:f>
      </x:c>
      <x:c r="O75" s="62" t="inlineStr">
        <x:is>
          <x:t xml:space="preserve">Да</x:t>
        </x:is>
      </x:c>
      <x:c r="P75" s="62" t="n"/>
    </x:row>
    <x:row r="76">
      <x:c r="A76" s="42" t="n"/>
      <x:c r="B76" s="43" t="n"/>
      <x:c r="C76" s="43" t="n"/>
      <x:c r="D76" s="44" t="n"/>
      <x:c r="E76" s="44" t="n"/>
      <x:c r="F76" s="44" t="n"/>
      <x:c r="G76" s="44" t="n"/>
      <x:c r="H76" s="44" t="n"/>
      <x:c r="I76" s="44" t="n"/>
      <x:c r="J76" s="44" t="n"/>
      <x:c r="K76" s="44" t="n"/>
      <x:c r="L76" s="45" t="n"/>
      <x:c r="M76" s="46" t="n"/>
      <x:c r="N76" s="62">
        <x:f>IF(OR(F76="",H76="",O76="Нет"),"",IF(H76="Вратарь",IF(L76="Да",Scoring!$C$7,IF(K76=1,Scoring!$C$8,IF(K76=2,Scoring!$C$9,Scoring!$C$10)))+IF(M76="",0,M76),N(IF(I76="",0,I76)*Scoring!$C$5)+N(IF(J76="",0,J76)*Scoring!$C$6)+IF(M76="",0,M76)))</x:f>
      </x:c>
      <x:c r="O76" s="62" t="inlineStr">
        <x:is>
          <x:t xml:space="preserve">Да</x:t>
        </x:is>
      </x:c>
      <x:c r="P76" s="62" t="n"/>
    </x:row>
    <x:row r="77">
      <x:c r="A77" s="42" t="n"/>
      <x:c r="B77" s="43" t="n"/>
      <x:c r="C77" s="43" t="n"/>
      <x:c r="D77" s="44" t="n"/>
      <x:c r="E77" s="44" t="n"/>
      <x:c r="F77" s="44" t="n"/>
      <x:c r="G77" s="44" t="n"/>
      <x:c r="H77" s="44" t="n"/>
      <x:c r="I77" s="44" t="n"/>
      <x:c r="J77" s="44" t="n"/>
      <x:c r="K77" s="44" t="n"/>
      <x:c r="L77" s="45" t="n"/>
      <x:c r="M77" s="46" t="n"/>
      <x:c r="N77" s="62">
        <x:f>IF(OR(F77="",H77="",O77="Нет"),"",IF(H77="Вратарь",IF(L77="Да",Scoring!$C$7,IF(K77=1,Scoring!$C$8,IF(K77=2,Scoring!$C$9,Scoring!$C$10)))+IF(M77="",0,M77),N(IF(I77="",0,I77)*Scoring!$C$5)+N(IF(J77="",0,J77)*Scoring!$C$6)+IF(M77="",0,M77)))</x:f>
      </x:c>
      <x:c r="O77" s="62" t="inlineStr">
        <x:is>
          <x:t xml:space="preserve">Да</x:t>
        </x:is>
      </x:c>
      <x:c r="P77" s="62" t="n"/>
    </x:row>
    <x:row r="78">
      <x:c r="A78" s="42" t="n"/>
      <x:c r="B78" s="43" t="n"/>
      <x:c r="C78" s="43" t="n"/>
      <x:c r="D78" s="44" t="n"/>
      <x:c r="E78" s="44" t="n"/>
      <x:c r="F78" s="44" t="n"/>
      <x:c r="G78" s="44" t="n"/>
      <x:c r="H78" s="44" t="n"/>
      <x:c r="I78" s="44" t="n"/>
      <x:c r="J78" s="44" t="n"/>
      <x:c r="K78" s="44" t="n"/>
      <x:c r="L78" s="45" t="n"/>
      <x:c r="M78" s="46" t="n"/>
      <x:c r="N78" s="62">
        <x:f>IF(OR(F78="",H78="",O78="Нет"),"",IF(H78="Вратарь",IF(L78="Да",Scoring!$C$7,IF(K78=1,Scoring!$C$8,IF(K78=2,Scoring!$C$9,Scoring!$C$10)))+IF(M78="",0,M78),N(IF(I78="",0,I78)*Scoring!$C$5)+N(IF(J78="",0,J78)*Scoring!$C$6)+IF(M78="",0,M78)))</x:f>
      </x:c>
      <x:c r="O78" s="62" t="inlineStr">
        <x:is>
          <x:t xml:space="preserve">Да</x:t>
        </x:is>
      </x:c>
      <x:c r="P78" s="62" t="n"/>
    </x:row>
    <x:row r="79">
      <x:c r="A79" s="42" t="n"/>
      <x:c r="B79" s="43" t="n"/>
      <x:c r="C79" s="43" t="n"/>
      <x:c r="D79" s="44" t="n"/>
      <x:c r="E79" s="44" t="n"/>
      <x:c r="F79" s="44" t="n"/>
      <x:c r="G79" s="44" t="n"/>
      <x:c r="H79" s="44" t="n"/>
      <x:c r="I79" s="44" t="n"/>
      <x:c r="J79" s="44" t="n"/>
      <x:c r="K79" s="44" t="n"/>
      <x:c r="L79" s="45" t="n"/>
      <x:c r="M79" s="46" t="n"/>
      <x:c r="N79" s="62">
        <x:f>IF(OR(F79="",H79="",O79="Нет"),"",IF(H79="Вратарь",IF(L79="Да",Scoring!$C$7,IF(K79=1,Scoring!$C$8,IF(K79=2,Scoring!$C$9,Scoring!$C$10)))+IF(M79="",0,M79),N(IF(I79="",0,I79)*Scoring!$C$5)+N(IF(J79="",0,J79)*Scoring!$C$6)+IF(M79="",0,M79)))</x:f>
      </x:c>
      <x:c r="O79" s="62" t="inlineStr">
        <x:is>
          <x:t xml:space="preserve">Да</x:t>
        </x:is>
      </x:c>
      <x:c r="P79" s="62" t="n"/>
    </x:row>
    <x:row r="80">
      <x:c r="A80" s="42" t="n"/>
      <x:c r="B80" s="43" t="n"/>
      <x:c r="C80" s="43" t="n"/>
      <x:c r="D80" s="44" t="n"/>
      <x:c r="E80" s="44" t="n"/>
      <x:c r="F80" s="44" t="n"/>
      <x:c r="G80" s="44" t="n"/>
      <x:c r="H80" s="44" t="n"/>
      <x:c r="I80" s="44" t="n"/>
      <x:c r="J80" s="44" t="n"/>
      <x:c r="K80" s="44" t="n"/>
      <x:c r="L80" s="45" t="n"/>
      <x:c r="M80" s="46" t="n"/>
      <x:c r="N80" s="62">
        <x:f>IF(OR(F80="",H80="",O80="Нет"),"",IF(H80="Вратарь",IF(L80="Да",Scoring!$C$7,IF(K80=1,Scoring!$C$8,IF(K80=2,Scoring!$C$9,Scoring!$C$10)))+IF(M80="",0,M80),N(IF(I80="",0,I80)*Scoring!$C$5)+N(IF(J80="",0,J80)*Scoring!$C$6)+IF(M80="",0,M80)))</x:f>
      </x:c>
      <x:c r="O80" s="62" t="inlineStr">
        <x:is>
          <x:t xml:space="preserve">Да</x:t>
        </x:is>
      </x:c>
      <x:c r="P80" s="62" t="n"/>
    </x:row>
    <x:row r="81">
      <x:c r="A81" s="42" t="n"/>
      <x:c r="B81" s="43" t="n"/>
      <x:c r="C81" s="43" t="n"/>
      <x:c r="D81" s="44" t="n"/>
      <x:c r="E81" s="44" t="n"/>
      <x:c r="F81" s="44" t="n"/>
      <x:c r="G81" s="44" t="n"/>
      <x:c r="H81" s="44" t="n"/>
      <x:c r="I81" s="44" t="n"/>
      <x:c r="J81" s="44" t="n"/>
      <x:c r="K81" s="44" t="n"/>
      <x:c r="L81" s="45" t="n"/>
      <x:c r="M81" s="46" t="n"/>
      <x:c r="N81" s="62">
        <x:f>IF(OR(F81="",H81="",O81="Нет"),"",IF(H81="Вратарь",IF(L81="Да",Scoring!$C$7,IF(K81=1,Scoring!$C$8,IF(K81=2,Scoring!$C$9,Scoring!$C$10)))+IF(M81="",0,M81),N(IF(I81="",0,I81)*Scoring!$C$5)+N(IF(J81="",0,J81)*Scoring!$C$6)+IF(M81="",0,M81)))</x:f>
      </x:c>
      <x:c r="O81" s="62" t="inlineStr">
        <x:is>
          <x:t xml:space="preserve">Да</x:t>
        </x:is>
      </x:c>
      <x:c r="P81" s="62" t="n"/>
    </x:row>
    <x:row r="82">
      <x:c r="A82" s="42" t="n"/>
      <x:c r="B82" s="43" t="n"/>
      <x:c r="C82" s="43" t="n"/>
      <x:c r="D82" s="44" t="n"/>
      <x:c r="E82" s="44" t="n"/>
      <x:c r="F82" s="44" t="n"/>
      <x:c r="G82" s="44" t="n"/>
      <x:c r="H82" s="44" t="n"/>
      <x:c r="I82" s="44" t="n"/>
      <x:c r="J82" s="44" t="n"/>
      <x:c r="K82" s="44" t="n"/>
      <x:c r="L82" s="45" t="n"/>
      <x:c r="M82" s="46" t="n"/>
      <x:c r="N82" s="62">
        <x:f>IF(OR(F82="",H82="",O82="Нет"),"",IF(H82="Вратарь",IF(L82="Да",Scoring!$C$7,IF(K82=1,Scoring!$C$8,IF(K82=2,Scoring!$C$9,Scoring!$C$10)))+IF(M82="",0,M82),N(IF(I82="",0,I82)*Scoring!$C$5)+N(IF(J82="",0,J82)*Scoring!$C$6)+IF(M82="",0,M82)))</x:f>
      </x:c>
      <x:c r="O82" s="62" t="inlineStr">
        <x:is>
          <x:t xml:space="preserve">Да</x:t>
        </x:is>
      </x:c>
      <x:c r="P82" s="62" t="n"/>
    </x:row>
    <x:row r="83">
      <x:c r="A83" s="42" t="n"/>
      <x:c r="B83" s="43" t="n"/>
      <x:c r="C83" s="43" t="n"/>
      <x:c r="D83" s="44" t="n"/>
      <x:c r="E83" s="44" t="n"/>
      <x:c r="F83" s="44" t="n"/>
      <x:c r="G83" s="44" t="n"/>
      <x:c r="H83" s="44" t="n"/>
      <x:c r="I83" s="44" t="n"/>
      <x:c r="J83" s="44" t="n"/>
      <x:c r="K83" s="44" t="n"/>
      <x:c r="L83" s="45" t="n"/>
      <x:c r="M83" s="46" t="n"/>
      <x:c r="N83" s="62">
        <x:f>IF(OR(F83="",H83="",O83="Нет"),"",IF(H83="Вратарь",IF(L83="Да",Scoring!$C$7,IF(K83=1,Scoring!$C$8,IF(K83=2,Scoring!$C$9,Scoring!$C$10)))+IF(M83="",0,M83),N(IF(I83="",0,I83)*Scoring!$C$5)+N(IF(J83="",0,J83)*Scoring!$C$6)+IF(M83="",0,M83)))</x:f>
      </x:c>
      <x:c r="O83" s="62" t="inlineStr">
        <x:is>
          <x:t xml:space="preserve">Да</x:t>
        </x:is>
      </x:c>
      <x:c r="P83" s="62" t="n"/>
    </x:row>
    <x:row r="84">
      <x:c r="A84" s="42" t="n"/>
      <x:c r="B84" s="43" t="n"/>
      <x:c r="C84" s="43" t="n"/>
      <x:c r="D84" s="44" t="n"/>
      <x:c r="E84" s="44" t="n"/>
      <x:c r="F84" s="44" t="n"/>
      <x:c r="G84" s="44" t="n"/>
      <x:c r="H84" s="44" t="n"/>
      <x:c r="I84" s="44" t="n"/>
      <x:c r="J84" s="44" t="n"/>
      <x:c r="K84" s="44" t="n"/>
      <x:c r="L84" s="45" t="n"/>
      <x:c r="M84" s="46" t="n"/>
      <x:c r="N84" s="62">
        <x:f>IF(OR(F84="",H84="",O84="Нет"),"",IF(H84="Вратарь",IF(L84="Да",Scoring!$C$7,IF(K84=1,Scoring!$C$8,IF(K84=2,Scoring!$C$9,Scoring!$C$10)))+IF(M84="",0,M84),N(IF(I84="",0,I84)*Scoring!$C$5)+N(IF(J84="",0,J84)*Scoring!$C$6)+IF(M84="",0,M84)))</x:f>
      </x:c>
      <x:c r="O84" s="62" t="inlineStr">
        <x:is>
          <x:t xml:space="preserve">Да</x:t>
        </x:is>
      </x:c>
      <x:c r="P84" s="62" t="n"/>
    </x:row>
    <x:row r="85">
      <x:c r="A85" s="42" t="n"/>
      <x:c r="B85" s="43" t="n"/>
      <x:c r="C85" s="43" t="n"/>
      <x:c r="D85" s="44" t="n"/>
      <x:c r="E85" s="44" t="n"/>
      <x:c r="F85" s="44" t="n"/>
      <x:c r="G85" s="44" t="n"/>
      <x:c r="H85" s="44" t="n"/>
      <x:c r="I85" s="44" t="n"/>
      <x:c r="J85" s="44" t="n"/>
      <x:c r="K85" s="44" t="n"/>
      <x:c r="L85" s="45" t="n"/>
      <x:c r="M85" s="46" t="n"/>
      <x:c r="N85" s="62">
        <x:f>IF(OR(F85="",H85="",O85="Нет"),"",IF(H85="Вратарь",IF(L85="Да",Scoring!$C$7,IF(K85=1,Scoring!$C$8,IF(K85=2,Scoring!$C$9,Scoring!$C$10)))+IF(M85="",0,M85),N(IF(I85="",0,I85)*Scoring!$C$5)+N(IF(J85="",0,J85)*Scoring!$C$6)+IF(M85="",0,M85)))</x:f>
      </x:c>
      <x:c r="O85" s="62" t="inlineStr">
        <x:is>
          <x:t xml:space="preserve">Да</x:t>
        </x:is>
      </x:c>
      <x:c r="P85" s="62" t="n"/>
    </x:row>
    <x:row r="86">
      <x:c r="A86" s="42" t="n"/>
      <x:c r="B86" s="43" t="n"/>
      <x:c r="C86" s="43" t="n"/>
      <x:c r="D86" s="44" t="n"/>
      <x:c r="E86" s="44" t="n"/>
      <x:c r="F86" s="44" t="n"/>
      <x:c r="G86" s="44" t="n"/>
      <x:c r="H86" s="44" t="n"/>
      <x:c r="I86" s="44" t="n"/>
      <x:c r="J86" s="44" t="n"/>
      <x:c r="K86" s="44" t="n"/>
      <x:c r="L86" s="45" t="n"/>
      <x:c r="M86" s="46" t="n"/>
      <x:c r="N86" s="62">
        <x:f>IF(OR(F86="",H86="",O86="Нет"),"",IF(H86="Вратарь",IF(L86="Да",Scoring!$C$7,IF(K86=1,Scoring!$C$8,IF(K86=2,Scoring!$C$9,Scoring!$C$10)))+IF(M86="",0,M86),N(IF(I86="",0,I86)*Scoring!$C$5)+N(IF(J86="",0,J86)*Scoring!$C$6)+IF(M86="",0,M86)))</x:f>
      </x:c>
      <x:c r="O86" s="62" t="inlineStr">
        <x:is>
          <x:t xml:space="preserve">Да</x:t>
        </x:is>
      </x:c>
      <x:c r="P86" s="62" t="n"/>
    </x:row>
    <x:row r="87">
      <x:c r="A87" s="42" t="n"/>
      <x:c r="B87" s="43" t="n"/>
      <x:c r="C87" s="43" t="n"/>
      <x:c r="D87" s="44" t="n"/>
      <x:c r="E87" s="44" t="n"/>
      <x:c r="F87" s="44" t="n"/>
      <x:c r="G87" s="44" t="n"/>
      <x:c r="H87" s="44" t="n"/>
      <x:c r="I87" s="44" t="n"/>
      <x:c r="J87" s="44" t="n"/>
      <x:c r="K87" s="44" t="n"/>
      <x:c r="L87" s="45" t="n"/>
      <x:c r="M87" s="46" t="n"/>
      <x:c r="N87" s="62">
        <x:f>IF(OR(F87="",H87="",O87="Нет"),"",IF(H87="Вратарь",IF(L87="Да",Scoring!$C$7,IF(K87=1,Scoring!$C$8,IF(K87=2,Scoring!$C$9,Scoring!$C$10)))+IF(M87="",0,M87),N(IF(I87="",0,I87)*Scoring!$C$5)+N(IF(J87="",0,J87)*Scoring!$C$6)+IF(M87="",0,M87)))</x:f>
      </x:c>
      <x:c r="O87" s="62" t="inlineStr">
        <x:is>
          <x:t xml:space="preserve">Да</x:t>
        </x:is>
      </x:c>
      <x:c r="P87" s="62" t="n"/>
    </x:row>
    <x:row r="88">
      <x:c r="A88" s="42" t="n"/>
      <x:c r="B88" s="43" t="n"/>
      <x:c r="C88" s="43" t="n"/>
      <x:c r="D88" s="44" t="n"/>
      <x:c r="E88" s="44" t="n"/>
      <x:c r="F88" s="44" t="n"/>
      <x:c r="G88" s="44" t="n"/>
      <x:c r="H88" s="44" t="n"/>
      <x:c r="I88" s="44" t="n"/>
      <x:c r="J88" s="44" t="n"/>
      <x:c r="K88" s="44" t="n"/>
      <x:c r="L88" s="45" t="n"/>
      <x:c r="M88" s="46" t="n"/>
      <x:c r="N88" s="62">
        <x:f>IF(OR(F88="",H88="",O88="Нет"),"",IF(H88="Вратарь",IF(L88="Да",Scoring!$C$7,IF(K88=1,Scoring!$C$8,IF(K88=2,Scoring!$C$9,Scoring!$C$10)))+IF(M88="",0,M88),N(IF(I88="",0,I88)*Scoring!$C$5)+N(IF(J88="",0,J88)*Scoring!$C$6)+IF(M88="",0,M88)))</x:f>
      </x:c>
      <x:c r="O88" s="62" t="inlineStr">
        <x:is>
          <x:t xml:space="preserve">Да</x:t>
        </x:is>
      </x:c>
      <x:c r="P88" s="62" t="n"/>
    </x:row>
    <x:row r="89">
      <x:c r="A89" s="42" t="n"/>
      <x:c r="B89" s="43" t="n"/>
      <x:c r="C89" s="43" t="n"/>
      <x:c r="D89" s="44" t="n"/>
      <x:c r="E89" s="44" t="n"/>
      <x:c r="F89" s="44" t="n"/>
      <x:c r="G89" s="44" t="n"/>
      <x:c r="H89" s="44" t="n"/>
      <x:c r="I89" s="44" t="n"/>
      <x:c r="J89" s="44" t="n"/>
      <x:c r="K89" s="44" t="n"/>
      <x:c r="L89" s="45" t="n"/>
      <x:c r="M89" s="46" t="n"/>
      <x:c r="N89" s="62">
        <x:f>IF(OR(F89="",H89="",O89="Нет"),"",IF(H89="Вратарь",IF(L89="Да",Scoring!$C$7,IF(K89=1,Scoring!$C$8,IF(K89=2,Scoring!$C$9,Scoring!$C$10)))+IF(M89="",0,M89),N(IF(I89="",0,I89)*Scoring!$C$5)+N(IF(J89="",0,J89)*Scoring!$C$6)+IF(M89="",0,M89)))</x:f>
      </x:c>
      <x:c r="O89" s="62" t="inlineStr">
        <x:is>
          <x:t xml:space="preserve">Да</x:t>
        </x:is>
      </x:c>
      <x:c r="P89" s="62" t="n"/>
    </x:row>
    <x:row r="90">
      <x:c r="A90" s="42" t="n"/>
      <x:c r="B90" s="43" t="n"/>
      <x:c r="C90" s="43" t="n"/>
      <x:c r="D90" s="44" t="n"/>
      <x:c r="E90" s="44" t="n"/>
      <x:c r="F90" s="44" t="n"/>
      <x:c r="G90" s="44" t="n"/>
      <x:c r="H90" s="44" t="n"/>
      <x:c r="I90" s="44" t="n"/>
      <x:c r="J90" s="44" t="n"/>
      <x:c r="K90" s="44" t="n"/>
      <x:c r="L90" s="45" t="n"/>
      <x:c r="M90" s="46" t="n"/>
      <x:c r="N90" s="62">
        <x:f>IF(OR(F90="",H90="",O90="Нет"),"",IF(H90="Вратарь",IF(L90="Да",Scoring!$C$7,IF(K90=1,Scoring!$C$8,IF(K90=2,Scoring!$C$9,Scoring!$C$10)))+IF(M90="",0,M90),N(IF(I90="",0,I90)*Scoring!$C$5)+N(IF(J90="",0,J90)*Scoring!$C$6)+IF(M90="",0,M90)))</x:f>
      </x:c>
      <x:c r="O90" s="62" t="inlineStr">
        <x:is>
          <x:t xml:space="preserve">Да</x:t>
        </x:is>
      </x:c>
      <x:c r="P90" s="62" t="n"/>
    </x:row>
    <x:row r="91">
      <x:c r="A91" s="42" t="n"/>
      <x:c r="B91" s="43" t="n"/>
      <x:c r="C91" s="43" t="n"/>
      <x:c r="D91" s="44" t="n"/>
      <x:c r="E91" s="44" t="n"/>
      <x:c r="F91" s="44" t="n"/>
      <x:c r="G91" s="44" t="n"/>
      <x:c r="H91" s="44" t="n"/>
      <x:c r="I91" s="44" t="n"/>
      <x:c r="J91" s="44" t="n"/>
      <x:c r="K91" s="44" t="n"/>
      <x:c r="L91" s="45" t="n"/>
      <x:c r="M91" s="46" t="n"/>
      <x:c r="N91" s="62">
        <x:f>IF(OR(F91="",H91="",O91="Нет"),"",IF(H91="Вратарь",IF(L91="Да",Scoring!$C$7,IF(K91=1,Scoring!$C$8,IF(K91=2,Scoring!$C$9,Scoring!$C$10)))+IF(M91="",0,M91),N(IF(I91="",0,I91)*Scoring!$C$5)+N(IF(J91="",0,J91)*Scoring!$C$6)+IF(M91="",0,M91)))</x:f>
      </x:c>
      <x:c r="O91" s="62" t="inlineStr">
        <x:is>
          <x:t xml:space="preserve">Да</x:t>
        </x:is>
      </x:c>
      <x:c r="P91" s="62" t="n"/>
    </x:row>
    <x:row r="92">
      <x:c r="A92" s="42" t="n"/>
      <x:c r="B92" s="43" t="n"/>
      <x:c r="C92" s="43" t="n"/>
      <x:c r="D92" s="44" t="n"/>
      <x:c r="E92" s="44" t="n"/>
      <x:c r="F92" s="44" t="n"/>
      <x:c r="G92" s="44" t="n"/>
      <x:c r="H92" s="44" t="n"/>
      <x:c r="I92" s="44" t="n"/>
      <x:c r="J92" s="44" t="n"/>
      <x:c r="K92" s="44" t="n"/>
      <x:c r="L92" s="45" t="n"/>
      <x:c r="M92" s="46" t="n"/>
      <x:c r="N92" s="62">
        <x:f>IF(OR(F92="",H92="",O92="Нет"),"",IF(H92="Вратарь",IF(L92="Да",Scoring!$C$7,IF(K92=1,Scoring!$C$8,IF(K92=2,Scoring!$C$9,Scoring!$C$10)))+IF(M92="",0,M92),N(IF(I92="",0,I92)*Scoring!$C$5)+N(IF(J92="",0,J92)*Scoring!$C$6)+IF(M92="",0,M92)))</x:f>
      </x:c>
      <x:c r="O92" s="62" t="inlineStr">
        <x:is>
          <x:t xml:space="preserve">Да</x:t>
        </x:is>
      </x:c>
      <x:c r="P92" s="62" t="n"/>
    </x:row>
    <x:row r="93">
      <x:c r="A93" s="42" t="n"/>
      <x:c r="B93" s="43" t="n"/>
      <x:c r="C93" s="43" t="n"/>
      <x:c r="D93" s="44" t="n"/>
      <x:c r="E93" s="44" t="n"/>
      <x:c r="F93" s="44" t="n"/>
      <x:c r="G93" s="44" t="n"/>
      <x:c r="H93" s="44" t="n"/>
      <x:c r="I93" s="44" t="n"/>
      <x:c r="J93" s="44" t="n"/>
      <x:c r="K93" s="44" t="n"/>
      <x:c r="L93" s="45" t="n"/>
      <x:c r="M93" s="46" t="n"/>
      <x:c r="N93" s="62">
        <x:f>IF(OR(F93="",H93="",O93="Нет"),"",IF(H93="Вратарь",IF(L93="Да",Scoring!$C$7,IF(K93=1,Scoring!$C$8,IF(K93=2,Scoring!$C$9,Scoring!$C$10)))+IF(M93="",0,M93),N(IF(I93="",0,I93)*Scoring!$C$5)+N(IF(J93="",0,J93)*Scoring!$C$6)+IF(M93="",0,M93)))</x:f>
      </x:c>
      <x:c r="O93" s="62" t="inlineStr">
        <x:is>
          <x:t xml:space="preserve">Да</x:t>
        </x:is>
      </x:c>
      <x:c r="P93" s="62" t="n"/>
    </x:row>
    <x:row r="94">
      <x:c r="A94" s="42" t="n"/>
      <x:c r="B94" s="43" t="n"/>
      <x:c r="C94" s="43" t="n"/>
      <x:c r="D94" s="44" t="n"/>
      <x:c r="E94" s="44" t="n"/>
      <x:c r="F94" s="44" t="n"/>
      <x:c r="G94" s="44" t="n"/>
      <x:c r="H94" s="44" t="n"/>
      <x:c r="I94" s="44" t="n"/>
      <x:c r="J94" s="44" t="n"/>
      <x:c r="K94" s="44" t="n"/>
      <x:c r="L94" s="45" t="n"/>
      <x:c r="M94" s="46" t="n"/>
      <x:c r="N94" s="62">
        <x:f>IF(OR(F94="",H94="",O94="Нет"),"",IF(H94="Вратарь",IF(L94="Да",Scoring!$C$7,IF(K94=1,Scoring!$C$8,IF(K94=2,Scoring!$C$9,Scoring!$C$10)))+IF(M94="",0,M94),N(IF(I94="",0,I94)*Scoring!$C$5)+N(IF(J94="",0,J94)*Scoring!$C$6)+IF(M94="",0,M94)))</x:f>
      </x:c>
      <x:c r="O94" s="62" t="inlineStr">
        <x:is>
          <x:t xml:space="preserve">Да</x:t>
        </x:is>
      </x:c>
      <x:c r="P94" s="62" t="n"/>
    </x:row>
    <x:row r="95">
      <x:c r="A95" s="42" t="n"/>
      <x:c r="B95" s="43" t="n"/>
      <x:c r="C95" s="43" t="n"/>
      <x:c r="D95" s="44" t="n"/>
      <x:c r="E95" s="44" t="n"/>
      <x:c r="F95" s="44" t="n"/>
      <x:c r="G95" s="44" t="n"/>
      <x:c r="H95" s="44" t="n"/>
      <x:c r="I95" s="44" t="n"/>
      <x:c r="J95" s="44" t="n"/>
      <x:c r="K95" s="44" t="n"/>
      <x:c r="L95" s="45" t="n"/>
      <x:c r="M95" s="46" t="n"/>
      <x:c r="N95" s="62">
        <x:f>IF(OR(F95="",H95="",O95="Нет"),"",IF(H95="Вратарь",IF(L95="Да",Scoring!$C$7,IF(K95=1,Scoring!$C$8,IF(K95=2,Scoring!$C$9,Scoring!$C$10)))+IF(M95="",0,M95),N(IF(I95="",0,I95)*Scoring!$C$5)+N(IF(J95="",0,J95)*Scoring!$C$6)+IF(M95="",0,M95)))</x:f>
      </x:c>
      <x:c r="O95" s="62" t="inlineStr">
        <x:is>
          <x:t xml:space="preserve">Да</x:t>
        </x:is>
      </x:c>
      <x:c r="P95" s="62" t="n"/>
    </x:row>
    <x:row r="96">
      <x:c r="A96" s="42" t="n"/>
      <x:c r="B96" s="43" t="n"/>
      <x:c r="C96" s="43" t="n"/>
      <x:c r="D96" s="44" t="n"/>
      <x:c r="E96" s="44" t="n"/>
      <x:c r="F96" s="44" t="n"/>
      <x:c r="G96" s="44" t="n"/>
      <x:c r="H96" s="44" t="n"/>
      <x:c r="I96" s="44" t="n"/>
      <x:c r="J96" s="44" t="n"/>
      <x:c r="K96" s="44" t="n"/>
      <x:c r="L96" s="45" t="n"/>
      <x:c r="M96" s="46" t="n"/>
      <x:c r="N96" s="62">
        <x:f>IF(OR(F96="",H96="",O96="Нет"),"",IF(H96="Вратарь",IF(L96="Да",Scoring!$C$7,IF(K96=1,Scoring!$C$8,IF(K96=2,Scoring!$C$9,Scoring!$C$10)))+IF(M96="",0,M96),N(IF(I96="",0,I96)*Scoring!$C$5)+N(IF(J96="",0,J96)*Scoring!$C$6)+IF(M96="",0,M96)))</x:f>
      </x:c>
      <x:c r="O96" s="62" t="inlineStr">
        <x:is>
          <x:t xml:space="preserve">Да</x:t>
        </x:is>
      </x:c>
      <x:c r="P96" s="62" t="n"/>
    </x:row>
    <x:row r="97">
      <x:c r="A97" s="42" t="n"/>
      <x:c r="B97" s="43" t="n"/>
      <x:c r="C97" s="43" t="n"/>
      <x:c r="D97" s="44" t="n"/>
      <x:c r="E97" s="44" t="n"/>
      <x:c r="F97" s="44" t="n"/>
      <x:c r="G97" s="44" t="n"/>
      <x:c r="H97" s="44" t="n"/>
      <x:c r="I97" s="44" t="n"/>
      <x:c r="J97" s="44" t="n"/>
      <x:c r="K97" s="44" t="n"/>
      <x:c r="L97" s="45" t="n"/>
      <x:c r="M97" s="46" t="n"/>
      <x:c r="N97" s="62">
        <x:f>IF(OR(F97="",H97="",O97="Нет"),"",IF(H97="Вратарь",IF(L97="Да",Scoring!$C$7,IF(K97=1,Scoring!$C$8,IF(K97=2,Scoring!$C$9,Scoring!$C$10)))+IF(M97="",0,M97),N(IF(I97="",0,I97)*Scoring!$C$5)+N(IF(J97="",0,J97)*Scoring!$C$6)+IF(M97="",0,M97)))</x:f>
      </x:c>
      <x:c r="O97" s="62" t="inlineStr">
        <x:is>
          <x:t xml:space="preserve">Да</x:t>
        </x:is>
      </x:c>
      <x:c r="P97" s="62" t="n"/>
    </x:row>
    <x:row r="98">
      <x:c r="A98" s="42" t="n"/>
      <x:c r="B98" s="43" t="n"/>
      <x:c r="C98" s="43" t="n"/>
      <x:c r="D98" s="44" t="n"/>
      <x:c r="E98" s="44" t="n"/>
      <x:c r="F98" s="44" t="n"/>
      <x:c r="G98" s="44" t="n"/>
      <x:c r="H98" s="44" t="n"/>
      <x:c r="I98" s="44" t="n"/>
      <x:c r="J98" s="44" t="n"/>
      <x:c r="K98" s="44" t="n"/>
      <x:c r="L98" s="45" t="n"/>
      <x:c r="M98" s="46" t="n"/>
      <x:c r="N98" s="62">
        <x:f>IF(OR(F98="",H98="",O98="Нет"),"",IF(H98="Вратарь",IF(L98="Да",Scoring!$C$7,IF(K98=1,Scoring!$C$8,IF(K98=2,Scoring!$C$9,Scoring!$C$10)))+IF(M98="",0,M98),N(IF(I98="",0,I98)*Scoring!$C$5)+N(IF(J98="",0,J98)*Scoring!$C$6)+IF(M98="",0,M98)))</x:f>
      </x:c>
      <x:c r="O98" s="62" t="inlineStr">
        <x:is>
          <x:t xml:space="preserve">Да</x:t>
        </x:is>
      </x:c>
      <x:c r="P98" s="62" t="n"/>
    </x:row>
    <x:row r="99">
      <x:c r="A99" s="42" t="n"/>
      <x:c r="B99" s="43" t="n"/>
      <x:c r="C99" s="43" t="n"/>
      <x:c r="D99" s="44" t="n"/>
      <x:c r="E99" s="44" t="n"/>
      <x:c r="F99" s="44" t="n"/>
      <x:c r="G99" s="44" t="n"/>
      <x:c r="H99" s="44" t="n"/>
      <x:c r="I99" s="44" t="n"/>
      <x:c r="J99" s="44" t="n"/>
      <x:c r="K99" s="44" t="n"/>
      <x:c r="L99" s="45" t="n"/>
      <x:c r="M99" s="46" t="n"/>
      <x:c r="N99" s="62">
        <x:f>IF(OR(F99="",H99="",O99="Нет"),"",IF(H99="Вратарь",IF(L99="Да",Scoring!$C$7,IF(K99=1,Scoring!$C$8,IF(K99=2,Scoring!$C$9,Scoring!$C$10)))+IF(M99="",0,M99),N(IF(I99="",0,I99)*Scoring!$C$5)+N(IF(J99="",0,J99)*Scoring!$C$6)+IF(M99="",0,M99)))</x:f>
      </x:c>
      <x:c r="O99" s="62" t="inlineStr">
        <x:is>
          <x:t xml:space="preserve">Да</x:t>
        </x:is>
      </x:c>
      <x:c r="P99" s="62" t="n"/>
    </x:row>
    <x:row r="100">
      <x:c r="A100" s="42" t="n"/>
      <x:c r="B100" s="43" t="n"/>
      <x:c r="C100" s="43" t="n"/>
      <x:c r="D100" s="44" t="n"/>
      <x:c r="E100" s="44" t="n"/>
      <x:c r="F100" s="44" t="n"/>
      <x:c r="G100" s="44" t="n"/>
      <x:c r="H100" s="44" t="n"/>
      <x:c r="I100" s="44" t="n"/>
      <x:c r="J100" s="44" t="n"/>
      <x:c r="K100" s="44" t="n"/>
      <x:c r="L100" s="45" t="n"/>
      <x:c r="M100" s="46" t="n"/>
      <x:c r="N100" s="62">
        <x:f>IF(OR(F100="",H100="",O100="Нет"),"",IF(H100="Вратарь",IF(L100="Да",Scoring!$C$7,IF(K100=1,Scoring!$C$8,IF(K100=2,Scoring!$C$9,Scoring!$C$10)))+IF(M100="",0,M100),N(IF(I100="",0,I100)*Scoring!$C$5)+N(IF(J100="",0,J100)*Scoring!$C$6)+IF(M100="",0,M100)))</x:f>
      </x:c>
      <x:c r="O100" s="62" t="inlineStr">
        <x:is>
          <x:t xml:space="preserve">Да</x:t>
        </x:is>
      </x:c>
      <x:c r="P100" s="62" t="n"/>
    </x:row>
    <x:row r="101">
      <x:c r="A101" s="42" t="n"/>
      <x:c r="B101" s="43" t="n"/>
      <x:c r="C101" s="43" t="n"/>
      <x:c r="D101" s="44" t="n"/>
      <x:c r="E101" s="44" t="n"/>
      <x:c r="F101" s="44" t="n"/>
      <x:c r="G101" s="44" t="n"/>
      <x:c r="H101" s="44" t="n"/>
      <x:c r="I101" s="44" t="n"/>
      <x:c r="J101" s="44" t="n"/>
      <x:c r="K101" s="44" t="n"/>
      <x:c r="L101" s="45" t="n"/>
      <x:c r="M101" s="46" t="n"/>
      <x:c r="N101" s="62">
        <x:f>IF(OR(F101="",H101="",O101="Нет"),"",IF(H101="Вратарь",IF(L101="Да",Scoring!$C$7,IF(K101=1,Scoring!$C$8,IF(K101=2,Scoring!$C$9,Scoring!$C$10)))+IF(M101="",0,M101),N(IF(I101="",0,I101)*Scoring!$C$5)+N(IF(J101="",0,J101)*Scoring!$C$6)+IF(M101="",0,M101)))</x:f>
      </x:c>
      <x:c r="O101" s="62" t="inlineStr">
        <x:is>
          <x:t xml:space="preserve">Да</x:t>
        </x:is>
      </x:c>
      <x:c r="P101" s="62" t="n"/>
    </x:row>
    <x:row r="102">
      <x:c r="A102" s="42" t="n"/>
      <x:c r="B102" s="43" t="n"/>
      <x:c r="C102" s="43" t="n"/>
      <x:c r="D102" s="44" t="n"/>
      <x:c r="E102" s="44" t="n"/>
      <x:c r="F102" s="44" t="n"/>
      <x:c r="G102" s="44" t="n"/>
      <x:c r="H102" s="44" t="n"/>
      <x:c r="I102" s="44" t="n"/>
      <x:c r="J102" s="44" t="n"/>
      <x:c r="K102" s="44" t="n"/>
      <x:c r="L102" s="45" t="n"/>
      <x:c r="M102" s="46" t="n"/>
      <x:c r="N102" s="62">
        <x:f>IF(OR(F102="",H102="",O102="Нет"),"",IF(H102="Вратарь",IF(L102="Да",Scoring!$C$7,IF(K102=1,Scoring!$C$8,IF(K102=2,Scoring!$C$9,Scoring!$C$10)))+IF(M102="",0,M102),N(IF(I102="",0,I102)*Scoring!$C$5)+N(IF(J102="",0,J102)*Scoring!$C$6)+IF(M102="",0,M102)))</x:f>
      </x:c>
      <x:c r="O102" s="62" t="inlineStr">
        <x:is>
          <x:t xml:space="preserve">Да</x:t>
        </x:is>
      </x:c>
      <x:c r="P102" s="62" t="n"/>
    </x:row>
    <x:row r="103">
      <x:c r="A103" s="42" t="n"/>
      <x:c r="B103" s="43" t="n"/>
      <x:c r="C103" s="43" t="n"/>
      <x:c r="D103" s="44" t="n"/>
      <x:c r="E103" s="44" t="n"/>
      <x:c r="F103" s="44" t="n"/>
      <x:c r="G103" s="44" t="n"/>
      <x:c r="H103" s="44" t="n"/>
      <x:c r="I103" s="44" t="n"/>
      <x:c r="J103" s="44" t="n"/>
      <x:c r="K103" s="44" t="n"/>
      <x:c r="L103" s="45" t="n"/>
      <x:c r="M103" s="46" t="n"/>
      <x:c r="N103" s="62">
        <x:f>IF(OR(F103="",H103="",O103="Нет"),"",IF(H103="Вратарь",IF(L103="Да",Scoring!$C$7,IF(K103=1,Scoring!$C$8,IF(K103=2,Scoring!$C$9,Scoring!$C$10)))+IF(M103="",0,M103),N(IF(I103="",0,I103)*Scoring!$C$5)+N(IF(J103="",0,J103)*Scoring!$C$6)+IF(M103="",0,M103)))</x:f>
      </x:c>
      <x:c r="O103" s="62" t="inlineStr">
        <x:is>
          <x:t xml:space="preserve">Да</x:t>
        </x:is>
      </x:c>
      <x:c r="P103" s="62" t="n"/>
    </x:row>
    <x:row r="104">
      <x:c r="A104" s="42" t="n"/>
      <x:c r="B104" s="43" t="n"/>
      <x:c r="C104" s="43" t="n"/>
      <x:c r="D104" s="44" t="n"/>
      <x:c r="E104" s="44" t="n"/>
      <x:c r="F104" s="44" t="n"/>
      <x:c r="G104" s="44" t="n"/>
      <x:c r="H104" s="44" t="n"/>
      <x:c r="I104" s="44" t="n"/>
      <x:c r="J104" s="44" t="n"/>
      <x:c r="K104" s="44" t="n"/>
      <x:c r="L104" s="45" t="n"/>
      <x:c r="M104" s="46" t="n"/>
      <x:c r="N104" s="62">
        <x:f>IF(OR(F104="",H104="",O104="Нет"),"",IF(H104="Вратарь",IF(L104="Да",Scoring!$C$7,IF(K104=1,Scoring!$C$8,IF(K104=2,Scoring!$C$9,Scoring!$C$10)))+IF(M104="",0,M104),N(IF(I104="",0,I104)*Scoring!$C$5)+N(IF(J104="",0,J104)*Scoring!$C$6)+IF(M104="",0,M104)))</x:f>
      </x:c>
      <x:c r="O104" s="62" t="inlineStr">
        <x:is>
          <x:t xml:space="preserve">Да</x:t>
        </x:is>
      </x:c>
      <x:c r="P104" s="62" t="n"/>
    </x:row>
    <x:row r="105">
      <x:c r="A105" s="42" t="n"/>
      <x:c r="B105" s="43" t="n"/>
      <x:c r="C105" s="43" t="n"/>
      <x:c r="D105" s="44" t="n"/>
      <x:c r="E105" s="44" t="n"/>
      <x:c r="F105" s="44" t="n"/>
      <x:c r="G105" s="44" t="n"/>
      <x:c r="H105" s="44" t="n"/>
      <x:c r="I105" s="44" t="n"/>
      <x:c r="J105" s="44" t="n"/>
      <x:c r="K105" s="44" t="n"/>
      <x:c r="L105" s="45" t="n"/>
      <x:c r="M105" s="46" t="n"/>
      <x:c r="N105" s="62">
        <x:f>IF(OR(F105="",H105="",O105="Нет"),"",IF(H105="Вратарь",IF(L105="Да",Scoring!$C$7,IF(K105=1,Scoring!$C$8,IF(K105=2,Scoring!$C$9,Scoring!$C$10)))+IF(M105="",0,M105),N(IF(I105="",0,I105)*Scoring!$C$5)+N(IF(J105="",0,J105)*Scoring!$C$6)+IF(M105="",0,M105)))</x:f>
      </x:c>
      <x:c r="O105" s="62" t="inlineStr">
        <x:is>
          <x:t xml:space="preserve">Да</x:t>
        </x:is>
      </x:c>
      <x:c r="P105" s="62" t="n"/>
    </x:row>
    <x:row r="106">
      <x:c r="A106" s="42" t="n"/>
      <x:c r="B106" s="43" t="n"/>
      <x:c r="C106" s="43" t="n"/>
      <x:c r="D106" s="44" t="n"/>
      <x:c r="E106" s="44" t="n"/>
      <x:c r="F106" s="44" t="n"/>
      <x:c r="G106" s="44" t="n"/>
      <x:c r="H106" s="44" t="n"/>
      <x:c r="I106" s="44" t="n"/>
      <x:c r="J106" s="44" t="n"/>
      <x:c r="K106" s="44" t="n"/>
      <x:c r="L106" s="45" t="n"/>
      <x:c r="M106" s="46" t="n"/>
      <x:c r="N106" s="62">
        <x:f>IF(OR(F106="",H106="",O106="Нет"),"",IF(H106="Вратарь",IF(L106="Да",Scoring!$C$7,IF(K106=1,Scoring!$C$8,IF(K106=2,Scoring!$C$9,Scoring!$C$10)))+IF(M106="",0,M106),N(IF(I106="",0,I106)*Scoring!$C$5)+N(IF(J106="",0,J106)*Scoring!$C$6)+IF(M106="",0,M106)))</x:f>
      </x:c>
      <x:c r="O106" s="62" t="inlineStr">
        <x:is>
          <x:t xml:space="preserve">Да</x:t>
        </x:is>
      </x:c>
      <x:c r="P106" s="62" t="n"/>
    </x:row>
    <x:row r="107">
      <x:c r="A107" s="42" t="n"/>
      <x:c r="B107" s="43" t="n"/>
      <x:c r="C107" s="43" t="n"/>
      <x:c r="D107" s="44" t="n"/>
      <x:c r="E107" s="44" t="n"/>
      <x:c r="F107" s="44" t="n"/>
      <x:c r="G107" s="44" t="n"/>
      <x:c r="H107" s="44" t="n"/>
      <x:c r="I107" s="44" t="n"/>
      <x:c r="J107" s="44" t="n"/>
      <x:c r="K107" s="44" t="n"/>
      <x:c r="L107" s="45" t="n"/>
      <x:c r="M107" s="46" t="n"/>
      <x:c r="N107" s="62">
        <x:f>IF(OR(F107="",H107="",O107="Нет"),"",IF(H107="Вратарь",IF(L107="Да",Scoring!$C$7,IF(K107=1,Scoring!$C$8,IF(K107=2,Scoring!$C$9,Scoring!$C$10)))+IF(M107="",0,M107),N(IF(I107="",0,I107)*Scoring!$C$5)+N(IF(J107="",0,J107)*Scoring!$C$6)+IF(M107="",0,M107)))</x:f>
      </x:c>
      <x:c r="O107" s="62" t="inlineStr">
        <x:is>
          <x:t xml:space="preserve">Да</x:t>
        </x:is>
      </x:c>
      <x:c r="P107" s="62" t="n"/>
    </x:row>
    <x:row r="108">
      <x:c r="A108" s="42" t="n"/>
      <x:c r="B108" s="43" t="n"/>
      <x:c r="C108" s="43" t="n"/>
      <x:c r="D108" s="44" t="n"/>
      <x:c r="E108" s="44" t="n"/>
      <x:c r="F108" s="44" t="n"/>
      <x:c r="G108" s="44" t="n"/>
      <x:c r="H108" s="44" t="n"/>
      <x:c r="I108" s="44" t="n"/>
      <x:c r="J108" s="44" t="n"/>
      <x:c r="K108" s="44" t="n"/>
      <x:c r="L108" s="45" t="n"/>
      <x:c r="M108" s="46" t="n"/>
      <x:c r="N108" s="62">
        <x:f>IF(OR(F108="",H108="",O108="Нет"),"",IF(H108="Вратарь",IF(L108="Да",Scoring!$C$7,IF(K108=1,Scoring!$C$8,IF(K108=2,Scoring!$C$9,Scoring!$C$10)))+IF(M108="",0,M108),N(IF(I108="",0,I108)*Scoring!$C$5)+N(IF(J108="",0,J108)*Scoring!$C$6)+IF(M108="",0,M108)))</x:f>
      </x:c>
      <x:c r="O108" s="62" t="inlineStr">
        <x:is>
          <x:t xml:space="preserve">Да</x:t>
        </x:is>
      </x:c>
      <x:c r="P108" s="62" t="n"/>
    </x:row>
    <x:row r="109">
      <x:c r="A109" s="42" t="n"/>
      <x:c r="B109" s="43" t="n"/>
      <x:c r="C109" s="43" t="n"/>
      <x:c r="D109" s="44" t="n"/>
      <x:c r="E109" s="44" t="n"/>
      <x:c r="F109" s="44" t="n"/>
      <x:c r="G109" s="44" t="n"/>
      <x:c r="H109" s="44" t="n"/>
      <x:c r="I109" s="44" t="n"/>
      <x:c r="J109" s="44" t="n"/>
      <x:c r="K109" s="44" t="n"/>
      <x:c r="L109" s="45" t="n"/>
      <x:c r="M109" s="46" t="n"/>
      <x:c r="N109" s="62">
        <x:f>IF(OR(F109="",H109="",O109="Нет"),"",IF(H109="Вратарь",IF(L109="Да",Scoring!$C$7,IF(K109=1,Scoring!$C$8,IF(K109=2,Scoring!$C$9,Scoring!$C$10)))+IF(M109="",0,M109),N(IF(I109="",0,I109)*Scoring!$C$5)+N(IF(J109="",0,J109)*Scoring!$C$6)+IF(M109="",0,M109)))</x:f>
      </x:c>
      <x:c r="O109" s="62" t="inlineStr">
        <x:is>
          <x:t xml:space="preserve">Да</x:t>
        </x:is>
      </x:c>
      <x:c r="P109" s="62" t="n"/>
    </x:row>
    <x:row r="110">
      <x:c r="A110" s="42" t="n"/>
      <x:c r="B110" s="43" t="n"/>
      <x:c r="C110" s="43" t="n"/>
      <x:c r="D110" s="44" t="n"/>
      <x:c r="E110" s="44" t="n"/>
      <x:c r="F110" s="44" t="n"/>
      <x:c r="G110" s="44" t="n"/>
      <x:c r="H110" s="44" t="n"/>
      <x:c r="I110" s="44" t="n"/>
      <x:c r="J110" s="44" t="n"/>
      <x:c r="K110" s="44" t="n"/>
      <x:c r="L110" s="45" t="n"/>
      <x:c r="M110" s="46" t="n"/>
      <x:c r="N110" s="62">
        <x:f>IF(OR(F110="",H110="",O110="Нет"),"",IF(H110="Вратарь",IF(L110="Да",Scoring!$C$7,IF(K110=1,Scoring!$C$8,IF(K110=2,Scoring!$C$9,Scoring!$C$10)))+IF(M110="",0,M110),N(IF(I110="",0,I110)*Scoring!$C$5)+N(IF(J110="",0,J110)*Scoring!$C$6)+IF(M110="",0,M110)))</x:f>
      </x:c>
      <x:c r="O110" s="62" t="inlineStr">
        <x:is>
          <x:t xml:space="preserve">Да</x:t>
        </x:is>
      </x:c>
      <x:c r="P110" s="62" t="n"/>
    </x:row>
    <x:row r="111">
      <x:c r="A111" s="42" t="n"/>
      <x:c r="B111" s="43" t="n"/>
      <x:c r="C111" s="43" t="n"/>
      <x:c r="D111" s="44" t="n"/>
      <x:c r="E111" s="44" t="n"/>
      <x:c r="F111" s="44" t="n"/>
      <x:c r="G111" s="44" t="n"/>
      <x:c r="H111" s="44" t="n"/>
      <x:c r="I111" s="44" t="n"/>
      <x:c r="J111" s="44" t="n"/>
      <x:c r="K111" s="44" t="n"/>
      <x:c r="L111" s="45" t="n"/>
      <x:c r="M111" s="46" t="n"/>
      <x:c r="N111" s="62">
        <x:f>IF(OR(F111="",H111="",O111="Нет"),"",IF(H111="Вратарь",IF(L111="Да",Scoring!$C$7,IF(K111=1,Scoring!$C$8,IF(K111=2,Scoring!$C$9,Scoring!$C$10)))+IF(M111="",0,M111),N(IF(I111="",0,I111)*Scoring!$C$5)+N(IF(J111="",0,J111)*Scoring!$C$6)+IF(M111="",0,M111)))</x:f>
      </x:c>
      <x:c r="O111" s="62" t="inlineStr">
        <x:is>
          <x:t xml:space="preserve">Да</x:t>
        </x:is>
      </x:c>
      <x:c r="P111" s="62" t="n"/>
    </x:row>
    <x:row r="112">
      <x:c r="A112" s="42" t="n"/>
      <x:c r="B112" s="43" t="n"/>
      <x:c r="C112" s="43" t="n"/>
      <x:c r="D112" s="44" t="n"/>
      <x:c r="E112" s="44" t="n"/>
      <x:c r="F112" s="44" t="n"/>
      <x:c r="G112" s="44" t="n"/>
      <x:c r="H112" s="44" t="n"/>
      <x:c r="I112" s="44" t="n"/>
      <x:c r="J112" s="44" t="n"/>
      <x:c r="K112" s="44" t="n"/>
      <x:c r="L112" s="45" t="n"/>
      <x:c r="M112" s="46" t="n"/>
      <x:c r="N112" s="62">
        <x:f>IF(OR(F112="",H112="",O112="Нет"),"",IF(H112="Вратарь",IF(L112="Да",Scoring!$C$7,IF(K112=1,Scoring!$C$8,IF(K112=2,Scoring!$C$9,Scoring!$C$10)))+IF(M112="",0,M112),N(IF(I112="",0,I112)*Scoring!$C$5)+N(IF(J112="",0,J112)*Scoring!$C$6)+IF(M112="",0,M112)))</x:f>
      </x:c>
      <x:c r="O112" s="62" t="inlineStr">
        <x:is>
          <x:t xml:space="preserve">Да</x:t>
        </x:is>
      </x:c>
      <x:c r="P112" s="62" t="n"/>
    </x:row>
    <x:row r="113">
      <x:c r="A113" s="42" t="n"/>
      <x:c r="B113" s="43" t="n"/>
      <x:c r="C113" s="43" t="n"/>
      <x:c r="D113" s="44" t="n"/>
      <x:c r="E113" s="44" t="n"/>
      <x:c r="F113" s="44" t="n"/>
      <x:c r="G113" s="44" t="n"/>
      <x:c r="H113" s="44" t="n"/>
      <x:c r="I113" s="44" t="n"/>
      <x:c r="J113" s="44" t="n"/>
      <x:c r="K113" s="44" t="n"/>
      <x:c r="L113" s="45" t="n"/>
      <x:c r="M113" s="46" t="n"/>
      <x:c r="N113" s="62">
        <x:f>IF(OR(F113="",H113="",O113="Нет"),"",IF(H113="Вратарь",IF(L113="Да",Scoring!$C$7,IF(K113=1,Scoring!$C$8,IF(K113=2,Scoring!$C$9,Scoring!$C$10)))+IF(M113="",0,M113),N(IF(I113="",0,I113)*Scoring!$C$5)+N(IF(J113="",0,J113)*Scoring!$C$6)+IF(M113="",0,M113)))</x:f>
      </x:c>
      <x:c r="O113" s="62" t="inlineStr">
        <x:is>
          <x:t xml:space="preserve">Да</x:t>
        </x:is>
      </x:c>
      <x:c r="P113" s="62" t="n"/>
    </x:row>
    <x:row r="114">
      <x:c r="A114" s="42" t="n"/>
      <x:c r="B114" s="43" t="n"/>
      <x:c r="C114" s="43" t="n"/>
      <x:c r="D114" s="44" t="n"/>
      <x:c r="E114" s="44" t="n"/>
      <x:c r="F114" s="44" t="n"/>
      <x:c r="G114" s="44" t="n"/>
      <x:c r="H114" s="44" t="n"/>
      <x:c r="I114" s="44" t="n"/>
      <x:c r="J114" s="44" t="n"/>
      <x:c r="K114" s="44" t="n"/>
      <x:c r="L114" s="45" t="n"/>
      <x:c r="M114" s="46" t="n"/>
      <x:c r="N114" s="62">
        <x:f>IF(OR(F114="",H114="",O114="Нет"),"",IF(H114="Вратарь",IF(L114="Да",Scoring!$C$7,IF(K114=1,Scoring!$C$8,IF(K114=2,Scoring!$C$9,Scoring!$C$10)))+IF(M114="",0,M114),N(IF(I114="",0,I114)*Scoring!$C$5)+N(IF(J114="",0,J114)*Scoring!$C$6)+IF(M114="",0,M114)))</x:f>
      </x:c>
      <x:c r="O114" s="62" t="inlineStr">
        <x:is>
          <x:t xml:space="preserve">Да</x:t>
        </x:is>
      </x:c>
      <x:c r="P114" s="62" t="n"/>
    </x:row>
    <x:row r="115">
      <x:c r="A115" s="42" t="n"/>
      <x:c r="B115" s="43" t="n"/>
      <x:c r="C115" s="43" t="n"/>
      <x:c r="D115" s="44" t="n"/>
      <x:c r="E115" s="44" t="n"/>
      <x:c r="F115" s="44" t="n"/>
      <x:c r="G115" s="44" t="n"/>
      <x:c r="H115" s="44" t="n"/>
      <x:c r="I115" s="44" t="n"/>
      <x:c r="J115" s="44" t="n"/>
      <x:c r="K115" s="44" t="n"/>
      <x:c r="L115" s="45" t="n"/>
      <x:c r="M115" s="46" t="n"/>
      <x:c r="N115" s="62">
        <x:f>IF(OR(F115="",H115="",O115="Нет"),"",IF(H115="Вратарь",IF(L115="Да",Scoring!$C$7,IF(K115=1,Scoring!$C$8,IF(K115=2,Scoring!$C$9,Scoring!$C$10)))+IF(M115="",0,M115),N(IF(I115="",0,I115)*Scoring!$C$5)+N(IF(J115="",0,J115)*Scoring!$C$6)+IF(M115="",0,M115)))</x:f>
      </x:c>
      <x:c r="O115" s="62" t="inlineStr">
        <x:is>
          <x:t xml:space="preserve">Да</x:t>
        </x:is>
      </x:c>
      <x:c r="P115" s="62" t="n"/>
    </x:row>
    <x:row r="116">
      <x:c r="A116" s="42" t="n"/>
      <x:c r="B116" s="43" t="n"/>
      <x:c r="C116" s="43" t="n"/>
      <x:c r="D116" s="44" t="n"/>
      <x:c r="E116" s="44" t="n"/>
      <x:c r="F116" s="44" t="n"/>
      <x:c r="G116" s="44" t="n"/>
      <x:c r="H116" s="44" t="n"/>
      <x:c r="I116" s="44" t="n"/>
      <x:c r="J116" s="44" t="n"/>
      <x:c r="K116" s="44" t="n"/>
      <x:c r="L116" s="45" t="n"/>
      <x:c r="M116" s="46" t="n"/>
      <x:c r="N116" s="62">
        <x:f>IF(OR(F116="",H116="",O116="Нет"),"",IF(H116="Вратарь",IF(L116="Да",Scoring!$C$7,IF(K116=1,Scoring!$C$8,IF(K116=2,Scoring!$C$9,Scoring!$C$10)))+IF(M116="",0,M116),N(IF(I116="",0,I116)*Scoring!$C$5)+N(IF(J116="",0,J116)*Scoring!$C$6)+IF(M116="",0,M116)))</x:f>
      </x:c>
      <x:c r="O116" s="62" t="inlineStr">
        <x:is>
          <x:t xml:space="preserve">Да</x:t>
        </x:is>
      </x:c>
      <x:c r="P116" s="62" t="n"/>
    </x:row>
    <x:row r="117">
      <x:c r="A117" s="42" t="n"/>
      <x:c r="B117" s="43" t="n"/>
      <x:c r="C117" s="43" t="n"/>
      <x:c r="D117" s="44" t="n"/>
      <x:c r="E117" s="44" t="n"/>
      <x:c r="F117" s="44" t="n"/>
      <x:c r="G117" s="44" t="n"/>
      <x:c r="H117" s="44" t="n"/>
      <x:c r="I117" s="44" t="n"/>
      <x:c r="J117" s="44" t="n"/>
      <x:c r="K117" s="44" t="n"/>
      <x:c r="L117" s="45" t="n"/>
      <x:c r="M117" s="46" t="n"/>
      <x:c r="N117" s="62">
        <x:f>IF(OR(F117="",H117="",O117="Нет"),"",IF(H117="Вратарь",IF(L117="Да",Scoring!$C$7,IF(K117=1,Scoring!$C$8,IF(K117=2,Scoring!$C$9,Scoring!$C$10)))+IF(M117="",0,M117),N(IF(I117="",0,I117)*Scoring!$C$5)+N(IF(J117="",0,J117)*Scoring!$C$6)+IF(M117="",0,M117)))</x:f>
      </x:c>
      <x:c r="O117" s="62" t="inlineStr">
        <x:is>
          <x:t xml:space="preserve">Да</x:t>
        </x:is>
      </x:c>
      <x:c r="P117" s="62" t="n"/>
    </x:row>
    <x:row r="118">
      <x:c r="A118" s="42" t="n"/>
      <x:c r="B118" s="43" t="n"/>
      <x:c r="C118" s="43" t="n"/>
      <x:c r="D118" s="44" t="n"/>
      <x:c r="E118" s="44" t="n"/>
      <x:c r="F118" s="44" t="n"/>
      <x:c r="G118" s="44" t="n"/>
      <x:c r="H118" s="44" t="n"/>
      <x:c r="I118" s="44" t="n"/>
      <x:c r="J118" s="44" t="n"/>
      <x:c r="K118" s="44" t="n"/>
      <x:c r="L118" s="45" t="n"/>
      <x:c r="M118" s="46" t="n"/>
      <x:c r="N118" s="62">
        <x:f>IF(OR(F118="",H118="",O118="Нет"),"",IF(H118="Вратарь",IF(L118="Да",Scoring!$C$7,IF(K118=1,Scoring!$C$8,IF(K118=2,Scoring!$C$9,Scoring!$C$10)))+IF(M118="",0,M118),N(IF(I118="",0,I118)*Scoring!$C$5)+N(IF(J118="",0,J118)*Scoring!$C$6)+IF(M118="",0,M118)))</x:f>
      </x:c>
      <x:c r="O118" s="62" t="inlineStr">
        <x:is>
          <x:t xml:space="preserve">Да</x:t>
        </x:is>
      </x:c>
      <x:c r="P118" s="62" t="n"/>
    </x:row>
    <x:row r="119">
      <x:c r="A119" s="42" t="n"/>
      <x:c r="B119" s="43" t="n"/>
      <x:c r="C119" s="43" t="n"/>
      <x:c r="D119" s="44" t="n"/>
      <x:c r="E119" s="44" t="n"/>
      <x:c r="F119" s="44" t="n"/>
      <x:c r="G119" s="44" t="n"/>
      <x:c r="H119" s="44" t="n"/>
      <x:c r="I119" s="44" t="n"/>
      <x:c r="J119" s="44" t="n"/>
      <x:c r="K119" s="44" t="n"/>
      <x:c r="L119" s="45" t="n"/>
      <x:c r="M119" s="46" t="n"/>
      <x:c r="N119" s="62">
        <x:f>IF(OR(F119="",H119="",O119="Нет"),"",IF(H119="Вратарь",IF(L119="Да",Scoring!$C$7,IF(K119=1,Scoring!$C$8,IF(K119=2,Scoring!$C$9,Scoring!$C$10)))+IF(M119="",0,M119),N(IF(I119="",0,I119)*Scoring!$C$5)+N(IF(J119="",0,J119)*Scoring!$C$6)+IF(M119="",0,M119)))</x:f>
      </x:c>
      <x:c r="O119" s="62" t="inlineStr">
        <x:is>
          <x:t xml:space="preserve">Да</x:t>
        </x:is>
      </x:c>
      <x:c r="P119" s="62" t="n"/>
    </x:row>
    <x:row r="120">
      <x:c r="A120" s="42" t="n"/>
      <x:c r="B120" s="43" t="n"/>
      <x:c r="C120" s="43" t="n"/>
      <x:c r="D120" s="44" t="n"/>
      <x:c r="E120" s="44" t="n"/>
      <x:c r="F120" s="44" t="n"/>
      <x:c r="G120" s="44" t="n"/>
      <x:c r="H120" s="44" t="n"/>
      <x:c r="I120" s="44" t="n"/>
      <x:c r="J120" s="44" t="n"/>
      <x:c r="K120" s="44" t="n"/>
      <x:c r="L120" s="45" t="n"/>
      <x:c r="M120" s="46" t="n"/>
      <x:c r="N120" s="62">
        <x:f>IF(OR(F120="",H120="",O120="Нет"),"",IF(H120="Вратарь",IF(L120="Да",Scoring!$C$7,IF(K120=1,Scoring!$C$8,IF(K120=2,Scoring!$C$9,Scoring!$C$10)))+IF(M120="",0,M120),N(IF(I120="",0,I120)*Scoring!$C$5)+N(IF(J120="",0,J120)*Scoring!$C$6)+IF(M120="",0,M120)))</x:f>
      </x:c>
      <x:c r="O120" s="62" t="inlineStr">
        <x:is>
          <x:t xml:space="preserve">Да</x:t>
        </x:is>
      </x:c>
      <x:c r="P120" s="62" t="n"/>
    </x:row>
    <x:row r="121">
      <x:c r="A121" s="42" t="n"/>
      <x:c r="B121" s="43" t="n"/>
      <x:c r="C121" s="43" t="n"/>
      <x:c r="D121" s="44" t="n"/>
      <x:c r="E121" s="44" t="n"/>
      <x:c r="F121" s="44" t="n"/>
      <x:c r="G121" s="44" t="n"/>
      <x:c r="H121" s="44" t="n"/>
      <x:c r="I121" s="44" t="n"/>
      <x:c r="J121" s="44" t="n"/>
      <x:c r="K121" s="44" t="n"/>
      <x:c r="L121" s="45" t="n"/>
      <x:c r="M121" s="46" t="n"/>
      <x:c r="N121" s="62">
        <x:f>IF(OR(F121="",H121="",O121="Нет"),"",IF(H121="Вратарь",IF(L121="Да",Scoring!$C$7,IF(K121=1,Scoring!$C$8,IF(K121=2,Scoring!$C$9,Scoring!$C$10)))+IF(M121="",0,M121),N(IF(I121="",0,I121)*Scoring!$C$5)+N(IF(J121="",0,J121)*Scoring!$C$6)+IF(M121="",0,M121)))</x:f>
      </x:c>
      <x:c r="O121" s="62" t="inlineStr">
        <x:is>
          <x:t xml:space="preserve">Да</x:t>
        </x:is>
      </x:c>
      <x:c r="P121" s="62" t="n"/>
    </x:row>
    <x:row r="122">
      <x:c r="A122" s="42" t="n"/>
      <x:c r="B122" s="43" t="n"/>
      <x:c r="C122" s="43" t="n"/>
      <x:c r="D122" s="44" t="n"/>
      <x:c r="E122" s="44" t="n"/>
      <x:c r="F122" s="44" t="n"/>
      <x:c r="G122" s="44" t="n"/>
      <x:c r="H122" s="44" t="n"/>
      <x:c r="I122" s="44" t="n"/>
      <x:c r="J122" s="44" t="n"/>
      <x:c r="K122" s="44" t="n"/>
      <x:c r="L122" s="45" t="n"/>
      <x:c r="M122" s="46" t="n"/>
      <x:c r="N122" s="62">
        <x:f>IF(OR(F122="",H122="",O122="Нет"),"",IF(H122="Вратарь",IF(L122="Да",Scoring!$C$7,IF(K122=1,Scoring!$C$8,IF(K122=2,Scoring!$C$9,Scoring!$C$10)))+IF(M122="",0,M122),N(IF(I122="",0,I122)*Scoring!$C$5)+N(IF(J122="",0,J122)*Scoring!$C$6)+IF(M122="",0,M122)))</x:f>
      </x:c>
      <x:c r="O122" s="62" t="inlineStr">
        <x:is>
          <x:t xml:space="preserve">Да</x:t>
        </x:is>
      </x:c>
      <x:c r="P122" s="62" t="n"/>
    </x:row>
    <x:row r="123">
      <x:c r="A123" s="42" t="n"/>
      <x:c r="B123" s="43" t="n"/>
      <x:c r="C123" s="43" t="n"/>
      <x:c r="D123" s="44" t="n"/>
      <x:c r="E123" s="44" t="n"/>
      <x:c r="F123" s="44" t="n"/>
      <x:c r="G123" s="44" t="n"/>
      <x:c r="H123" s="44" t="n"/>
      <x:c r="I123" s="44" t="n"/>
      <x:c r="J123" s="44" t="n"/>
      <x:c r="K123" s="44" t="n"/>
      <x:c r="L123" s="45" t="n"/>
      <x:c r="M123" s="46" t="n"/>
      <x:c r="N123" s="62">
        <x:f>IF(OR(F123="",H123="",O123="Нет"),"",IF(H123="Вратарь",IF(L123="Да",Scoring!$C$7,IF(K123=1,Scoring!$C$8,IF(K123=2,Scoring!$C$9,Scoring!$C$10)))+IF(M123="",0,M123),N(IF(I123="",0,I123)*Scoring!$C$5)+N(IF(J123="",0,J123)*Scoring!$C$6)+IF(M123="",0,M123)))</x:f>
      </x:c>
      <x:c r="O123" s="62" t="inlineStr">
        <x:is>
          <x:t xml:space="preserve">Да</x:t>
        </x:is>
      </x:c>
      <x:c r="P123" s="62" t="n"/>
    </x:row>
    <x:row r="124">
      <x:c r="A124" s="42" t="n"/>
      <x:c r="B124" s="43" t="n"/>
      <x:c r="C124" s="43" t="n"/>
      <x:c r="D124" s="44" t="n"/>
      <x:c r="E124" s="44" t="n"/>
      <x:c r="F124" s="44" t="n"/>
      <x:c r="G124" s="44" t="n"/>
      <x:c r="H124" s="44" t="n"/>
      <x:c r="I124" s="44" t="n"/>
      <x:c r="J124" s="44" t="n"/>
      <x:c r="K124" s="44" t="n"/>
      <x:c r="L124" s="45" t="n"/>
      <x:c r="M124" s="46" t="n"/>
      <x:c r="N124" s="62">
        <x:f>IF(OR(F124="",H124="",O124="Нет"),"",IF(H124="Вратарь",IF(L124="Да",Scoring!$C$7,IF(K124=1,Scoring!$C$8,IF(K124=2,Scoring!$C$9,Scoring!$C$10)))+IF(M124="",0,M124),N(IF(I124="",0,I124)*Scoring!$C$5)+N(IF(J124="",0,J124)*Scoring!$C$6)+IF(M124="",0,M124)))</x:f>
      </x:c>
      <x:c r="O124" s="62" t="inlineStr">
        <x:is>
          <x:t xml:space="preserve">Да</x:t>
        </x:is>
      </x:c>
      <x:c r="P124" s="62" t="n"/>
    </x:row>
    <x:row r="125">
      <x:c r="A125" s="42" t="n"/>
      <x:c r="B125" s="43" t="n"/>
      <x:c r="C125" s="43" t="n"/>
      <x:c r="D125" s="44" t="n"/>
      <x:c r="E125" s="44" t="n"/>
      <x:c r="F125" s="44" t="n"/>
      <x:c r="G125" s="44" t="n"/>
      <x:c r="H125" s="44" t="n"/>
      <x:c r="I125" s="44" t="n"/>
      <x:c r="J125" s="44" t="n"/>
      <x:c r="K125" s="44" t="n"/>
      <x:c r="L125" s="45" t="n"/>
      <x:c r="M125" s="46" t="n"/>
      <x:c r="N125" s="62">
        <x:f>IF(OR(F125="",H125="",O125="Нет"),"",IF(H125="Вратарь",IF(L125="Да",Scoring!$C$7,IF(K125=1,Scoring!$C$8,IF(K125=2,Scoring!$C$9,Scoring!$C$10)))+IF(M125="",0,M125),N(IF(I125="",0,I125)*Scoring!$C$5)+N(IF(J125="",0,J125)*Scoring!$C$6)+IF(M125="",0,M125)))</x:f>
      </x:c>
      <x:c r="O125" s="62" t="inlineStr">
        <x:is>
          <x:t xml:space="preserve">Да</x:t>
        </x:is>
      </x:c>
      <x:c r="P125" s="62" t="n"/>
    </x:row>
    <x:row r="126">
      <x:c r="A126" s="42" t="n"/>
      <x:c r="B126" s="43" t="n"/>
      <x:c r="C126" s="43" t="n"/>
      <x:c r="D126" s="44" t="n"/>
      <x:c r="E126" s="44" t="n"/>
      <x:c r="F126" s="44" t="n"/>
      <x:c r="G126" s="44" t="n"/>
      <x:c r="H126" s="44" t="n"/>
      <x:c r="I126" s="44" t="n"/>
      <x:c r="J126" s="44" t="n"/>
      <x:c r="K126" s="44" t="n"/>
      <x:c r="L126" s="45" t="n"/>
      <x:c r="M126" s="46" t="n"/>
      <x:c r="N126" s="62">
        <x:f>IF(OR(F126="",H126="",O126="Нет"),"",IF(H126="Вратарь",IF(L126="Да",Scoring!$C$7,IF(K126=1,Scoring!$C$8,IF(K126=2,Scoring!$C$9,Scoring!$C$10)))+IF(M126="",0,M126),N(IF(I126="",0,I126)*Scoring!$C$5)+N(IF(J126="",0,J126)*Scoring!$C$6)+IF(M126="",0,M126)))</x:f>
      </x:c>
      <x:c r="O126" s="62" t="inlineStr">
        <x:is>
          <x:t xml:space="preserve">Да</x:t>
        </x:is>
      </x:c>
      <x:c r="P126" s="62" t="n"/>
    </x:row>
    <x:row r="127">
      <x:c r="A127" s="42" t="n"/>
      <x:c r="B127" s="43" t="n"/>
      <x:c r="C127" s="43" t="n"/>
      <x:c r="D127" s="44" t="n"/>
      <x:c r="E127" s="44" t="n"/>
      <x:c r="F127" s="44" t="n"/>
      <x:c r="G127" s="44" t="n"/>
      <x:c r="H127" s="44" t="n"/>
      <x:c r="I127" s="44" t="n"/>
      <x:c r="J127" s="44" t="n"/>
      <x:c r="K127" s="44" t="n"/>
      <x:c r="L127" s="45" t="n"/>
      <x:c r="M127" s="46" t="n"/>
      <x:c r="N127" s="62">
        <x:f>IF(OR(F127="",H127="",O127="Нет"),"",IF(H127="Вратарь",IF(L127="Да",Scoring!$C$7,IF(K127=1,Scoring!$C$8,IF(K127=2,Scoring!$C$9,Scoring!$C$10)))+IF(M127="",0,M127),N(IF(I127="",0,I127)*Scoring!$C$5)+N(IF(J127="",0,J127)*Scoring!$C$6)+IF(M127="",0,M127)))</x:f>
      </x:c>
      <x:c r="O127" s="62" t="inlineStr">
        <x:is>
          <x:t xml:space="preserve">Да</x:t>
        </x:is>
      </x:c>
      <x:c r="P127" s="62" t="n"/>
    </x:row>
    <x:row r="128">
      <x:c r="A128" s="42" t="n"/>
      <x:c r="B128" s="43" t="n"/>
      <x:c r="C128" s="43" t="n"/>
      <x:c r="D128" s="44" t="n"/>
      <x:c r="E128" s="44" t="n"/>
      <x:c r="F128" s="44" t="n"/>
      <x:c r="G128" s="44" t="n"/>
      <x:c r="H128" s="44" t="n"/>
      <x:c r="I128" s="44" t="n"/>
      <x:c r="J128" s="44" t="n"/>
      <x:c r="K128" s="44" t="n"/>
      <x:c r="L128" s="45" t="n"/>
      <x:c r="M128" s="46" t="n"/>
      <x:c r="N128" s="62">
        <x:f>IF(OR(F128="",H128="",O128="Нет"),"",IF(H128="Вратарь",IF(L128="Да",Scoring!$C$7,IF(K128=1,Scoring!$C$8,IF(K128=2,Scoring!$C$9,Scoring!$C$10)))+IF(M128="",0,M128),N(IF(I128="",0,I128)*Scoring!$C$5)+N(IF(J128="",0,J128)*Scoring!$C$6)+IF(M128="",0,M128)))</x:f>
      </x:c>
      <x:c r="O128" s="62" t="inlineStr">
        <x:is>
          <x:t xml:space="preserve">Да</x:t>
        </x:is>
      </x:c>
      <x:c r="P128" s="62" t="n"/>
    </x:row>
    <x:row r="129">
      <x:c r="A129" s="42" t="n"/>
      <x:c r="B129" s="43" t="n"/>
      <x:c r="C129" s="43" t="n"/>
      <x:c r="D129" s="44" t="n"/>
      <x:c r="E129" s="44" t="n"/>
      <x:c r="F129" s="44" t="n"/>
      <x:c r="G129" s="44" t="n"/>
      <x:c r="H129" s="44" t="n"/>
      <x:c r="I129" s="44" t="n"/>
      <x:c r="J129" s="44" t="n"/>
      <x:c r="K129" s="44" t="n"/>
      <x:c r="L129" s="45" t="n"/>
      <x:c r="M129" s="46" t="n"/>
      <x:c r="N129" s="62">
        <x:f>IF(OR(F129="",H129="",O129="Нет"),"",IF(H129="Вратарь",IF(L129="Да",Scoring!$C$7,IF(K129=1,Scoring!$C$8,IF(K129=2,Scoring!$C$9,Scoring!$C$10)))+IF(M129="",0,M129),N(IF(I129="",0,I129)*Scoring!$C$5)+N(IF(J129="",0,J129)*Scoring!$C$6)+IF(M129="",0,M129)))</x:f>
      </x:c>
      <x:c r="O129" s="62" t="inlineStr">
        <x:is>
          <x:t xml:space="preserve">Да</x:t>
        </x:is>
      </x:c>
      <x:c r="P129" s="62" t="n"/>
    </x:row>
    <x:row r="130">
      <x:c r="A130" s="42" t="n"/>
      <x:c r="B130" s="43" t="n"/>
      <x:c r="C130" s="43" t="n"/>
      <x:c r="D130" s="44" t="n"/>
      <x:c r="E130" s="44" t="n"/>
      <x:c r="F130" s="44" t="n"/>
      <x:c r="G130" s="44" t="n"/>
      <x:c r="H130" s="44" t="n"/>
      <x:c r="I130" s="44" t="n"/>
      <x:c r="J130" s="44" t="n"/>
      <x:c r="K130" s="44" t="n"/>
      <x:c r="L130" s="45" t="n"/>
      <x:c r="M130" s="46" t="n"/>
      <x:c r="N130" s="62">
        <x:f>IF(OR(F130="",H130="",O130="Нет"),"",IF(H130="Вратарь",IF(L130="Да",Scoring!$C$7,IF(K130=1,Scoring!$C$8,IF(K130=2,Scoring!$C$9,Scoring!$C$10)))+IF(M130="",0,M130),N(IF(I130="",0,I130)*Scoring!$C$5)+N(IF(J130="",0,J130)*Scoring!$C$6)+IF(M130="",0,M130)))</x:f>
      </x:c>
      <x:c r="O130" s="62" t="inlineStr">
        <x:is>
          <x:t xml:space="preserve">Да</x:t>
        </x:is>
      </x:c>
      <x:c r="P130" s="62" t="n"/>
    </x:row>
    <x:row r="131">
      <x:c r="A131" s="42" t="n"/>
      <x:c r="B131" s="43" t="n"/>
      <x:c r="C131" s="43" t="n"/>
      <x:c r="D131" s="44" t="n"/>
      <x:c r="E131" s="44" t="n"/>
      <x:c r="F131" s="44" t="n"/>
      <x:c r="G131" s="44" t="n"/>
      <x:c r="H131" s="44" t="n"/>
      <x:c r="I131" s="44" t="n"/>
      <x:c r="J131" s="44" t="n"/>
      <x:c r="K131" s="44" t="n"/>
      <x:c r="L131" s="45" t="n"/>
      <x:c r="M131" s="46" t="n"/>
      <x:c r="N131" s="62">
        <x:f>IF(OR(F131="",H131="",O131="Нет"),"",IF(H131="Вратарь",IF(L131="Да",Scoring!$C$7,IF(K131=1,Scoring!$C$8,IF(K131=2,Scoring!$C$9,Scoring!$C$10)))+IF(M131="",0,M131),N(IF(I131="",0,I131)*Scoring!$C$5)+N(IF(J131="",0,J131)*Scoring!$C$6)+IF(M131="",0,M131)))</x:f>
      </x:c>
      <x:c r="O131" s="62" t="inlineStr">
        <x:is>
          <x:t xml:space="preserve">Да</x:t>
        </x:is>
      </x:c>
      <x:c r="P131" s="62" t="n"/>
    </x:row>
    <x:row r="132">
      <x:c r="A132" s="42" t="n"/>
      <x:c r="B132" s="43" t="n"/>
      <x:c r="C132" s="43" t="n"/>
      <x:c r="D132" s="44" t="n"/>
      <x:c r="E132" s="44" t="n"/>
      <x:c r="F132" s="44" t="n"/>
      <x:c r="G132" s="44" t="n"/>
      <x:c r="H132" s="44" t="n"/>
      <x:c r="I132" s="44" t="n"/>
      <x:c r="J132" s="44" t="n"/>
      <x:c r="K132" s="44" t="n"/>
      <x:c r="L132" s="45" t="n"/>
      <x:c r="M132" s="46" t="n"/>
      <x:c r="N132" s="62">
        <x:f>IF(OR(F132="",H132="",O132="Нет"),"",IF(H132="Вратарь",IF(L132="Да",Scoring!$C$7,IF(K132=1,Scoring!$C$8,IF(K132=2,Scoring!$C$9,Scoring!$C$10)))+IF(M132="",0,M132),N(IF(I132="",0,I132)*Scoring!$C$5)+N(IF(J132="",0,J132)*Scoring!$C$6)+IF(M132="",0,M132)))</x:f>
      </x:c>
      <x:c r="O132" s="62" t="inlineStr">
        <x:is>
          <x:t xml:space="preserve">Да</x:t>
        </x:is>
      </x:c>
      <x:c r="P132" s="62" t="n"/>
    </x:row>
    <x:row r="133">
      <x:c r="A133" s="42" t="n"/>
      <x:c r="B133" s="43" t="n"/>
      <x:c r="C133" s="43" t="n"/>
      <x:c r="D133" s="44" t="n"/>
      <x:c r="E133" s="44" t="n"/>
      <x:c r="F133" s="44" t="n"/>
      <x:c r="G133" s="44" t="n"/>
      <x:c r="H133" s="44" t="n"/>
      <x:c r="I133" s="44" t="n"/>
      <x:c r="J133" s="44" t="n"/>
      <x:c r="K133" s="44" t="n"/>
      <x:c r="L133" s="45" t="n"/>
      <x:c r="M133" s="46" t="n"/>
      <x:c r="N133" s="62">
        <x:f>IF(OR(F133="",H133="",O133="Нет"),"",IF(H133="Вратарь",IF(L133="Да",Scoring!$C$7,IF(K133=1,Scoring!$C$8,IF(K133=2,Scoring!$C$9,Scoring!$C$10)))+IF(M133="",0,M133),N(IF(I133="",0,I133)*Scoring!$C$5)+N(IF(J133="",0,J133)*Scoring!$C$6)+IF(M133="",0,M133)))</x:f>
      </x:c>
      <x:c r="O133" s="62" t="inlineStr">
        <x:is>
          <x:t xml:space="preserve">Да</x:t>
        </x:is>
      </x:c>
      <x:c r="P133" s="62" t="n"/>
    </x:row>
    <x:row r="134">
      <x:c r="A134" s="42" t="n"/>
      <x:c r="B134" s="43" t="n"/>
      <x:c r="C134" s="43" t="n"/>
      <x:c r="D134" s="44" t="n"/>
      <x:c r="E134" s="44" t="n"/>
      <x:c r="F134" s="44" t="n"/>
      <x:c r="G134" s="44" t="n"/>
      <x:c r="H134" s="44" t="n"/>
      <x:c r="I134" s="44" t="n"/>
      <x:c r="J134" s="44" t="n"/>
      <x:c r="K134" s="44" t="n"/>
      <x:c r="L134" s="45" t="n"/>
      <x:c r="M134" s="46" t="n"/>
      <x:c r="N134" s="62">
        <x:f>IF(OR(F134="",H134="",O134="Нет"),"",IF(H134="Вратарь",IF(L134="Да",Scoring!$C$7,IF(K134=1,Scoring!$C$8,IF(K134=2,Scoring!$C$9,Scoring!$C$10)))+IF(M134="",0,M134),N(IF(I134="",0,I134)*Scoring!$C$5)+N(IF(J134="",0,J134)*Scoring!$C$6)+IF(M134="",0,M134)))</x:f>
      </x:c>
      <x:c r="O134" s="62" t="inlineStr">
        <x:is>
          <x:t xml:space="preserve">Да</x:t>
        </x:is>
      </x:c>
      <x:c r="P134" s="62" t="n"/>
    </x:row>
    <x:row r="135">
      <x:c r="A135" s="42" t="n"/>
      <x:c r="B135" s="43" t="n"/>
      <x:c r="C135" s="43" t="n"/>
      <x:c r="D135" s="44" t="n"/>
      <x:c r="E135" s="44" t="n"/>
      <x:c r="F135" s="44" t="n"/>
      <x:c r="G135" s="44" t="n"/>
      <x:c r="H135" s="44" t="n"/>
      <x:c r="I135" s="44" t="n"/>
      <x:c r="J135" s="44" t="n"/>
      <x:c r="K135" s="44" t="n"/>
      <x:c r="L135" s="45" t="n"/>
      <x:c r="M135" s="46" t="n"/>
      <x:c r="N135" s="62">
        <x:f>IF(OR(F135="",H135="",O135="Нет"),"",IF(H135="Вратарь",IF(L135="Да",Scoring!$C$7,IF(K135=1,Scoring!$C$8,IF(K135=2,Scoring!$C$9,Scoring!$C$10)))+IF(M135="",0,M135),N(IF(I135="",0,I135)*Scoring!$C$5)+N(IF(J135="",0,J135)*Scoring!$C$6)+IF(M135="",0,M135)))</x:f>
      </x:c>
      <x:c r="O135" s="62" t="inlineStr">
        <x:is>
          <x:t xml:space="preserve">Да</x:t>
        </x:is>
      </x:c>
      <x:c r="P135" s="62" t="n"/>
    </x:row>
    <x:row r="136">
      <x:c r="A136" s="42" t="n"/>
      <x:c r="B136" s="43" t="n"/>
      <x:c r="C136" s="43" t="n"/>
      <x:c r="D136" s="44" t="n"/>
      <x:c r="E136" s="44" t="n"/>
      <x:c r="F136" s="44" t="n"/>
      <x:c r="G136" s="44" t="n"/>
      <x:c r="H136" s="44" t="n"/>
      <x:c r="I136" s="44" t="n"/>
      <x:c r="J136" s="44" t="n"/>
      <x:c r="K136" s="44" t="n"/>
      <x:c r="L136" s="45" t="n"/>
      <x:c r="M136" s="46" t="n"/>
      <x:c r="N136" s="62">
        <x:f>IF(OR(F136="",H136="",O136="Нет"),"",IF(H136="Вратарь",IF(L136="Да",Scoring!$C$7,IF(K136=1,Scoring!$C$8,IF(K136=2,Scoring!$C$9,Scoring!$C$10)))+IF(M136="",0,M136),N(IF(I136="",0,I136)*Scoring!$C$5)+N(IF(J136="",0,J136)*Scoring!$C$6)+IF(M136="",0,M136)))</x:f>
      </x:c>
      <x:c r="O136" s="62" t="inlineStr">
        <x:is>
          <x:t xml:space="preserve">Да</x:t>
        </x:is>
      </x:c>
      <x:c r="P136" s="62" t="n"/>
    </x:row>
    <x:row r="137">
      <x:c r="A137" s="42" t="n"/>
      <x:c r="B137" s="43" t="n"/>
      <x:c r="C137" s="43" t="n"/>
      <x:c r="D137" s="44" t="n"/>
      <x:c r="E137" s="44" t="n"/>
      <x:c r="F137" s="44" t="n"/>
      <x:c r="G137" s="44" t="n"/>
      <x:c r="H137" s="44" t="n"/>
      <x:c r="I137" s="44" t="n"/>
      <x:c r="J137" s="44" t="n"/>
      <x:c r="K137" s="44" t="n"/>
      <x:c r="L137" s="45" t="n"/>
      <x:c r="M137" s="46" t="n"/>
      <x:c r="N137" s="62">
        <x:f>IF(OR(F137="",H137="",O137="Нет"),"",IF(H137="Вратарь",IF(L137="Да",Scoring!$C$7,IF(K137=1,Scoring!$C$8,IF(K137=2,Scoring!$C$9,Scoring!$C$10)))+IF(M137="",0,M137),N(IF(I137="",0,I137)*Scoring!$C$5)+N(IF(J137="",0,J137)*Scoring!$C$6)+IF(M137="",0,M137)))</x:f>
      </x:c>
      <x:c r="O137" s="62" t="inlineStr">
        <x:is>
          <x:t xml:space="preserve">Да</x:t>
        </x:is>
      </x:c>
      <x:c r="P137" s="62" t="n"/>
    </x:row>
    <x:row r="138">
      <x:c r="A138" s="42" t="n"/>
      <x:c r="B138" s="43" t="n"/>
      <x:c r="C138" s="43" t="n"/>
      <x:c r="D138" s="44" t="n"/>
      <x:c r="E138" s="44" t="n"/>
      <x:c r="F138" s="44" t="n"/>
      <x:c r="G138" s="44" t="n"/>
      <x:c r="H138" s="44" t="n"/>
      <x:c r="I138" s="44" t="n"/>
      <x:c r="J138" s="44" t="n"/>
      <x:c r="K138" s="44" t="n"/>
      <x:c r="L138" s="45" t="n"/>
      <x:c r="M138" s="46" t="n"/>
      <x:c r="N138" s="62">
        <x:f>IF(OR(F138="",H138="",O138="Нет"),"",IF(H138="Вратарь",IF(L138="Да",Scoring!$C$7,IF(K138=1,Scoring!$C$8,IF(K138=2,Scoring!$C$9,Scoring!$C$10)))+IF(M138="",0,M138),N(IF(I138="",0,I138)*Scoring!$C$5)+N(IF(J138="",0,J138)*Scoring!$C$6)+IF(M138="",0,M138)))</x:f>
      </x:c>
      <x:c r="O138" s="62" t="inlineStr">
        <x:is>
          <x:t xml:space="preserve">Да</x:t>
        </x:is>
      </x:c>
      <x:c r="P138" s="62" t="n"/>
    </x:row>
    <x:row r="139">
      <x:c r="A139" s="42" t="n"/>
      <x:c r="B139" s="43" t="n"/>
      <x:c r="C139" s="43" t="n"/>
      <x:c r="D139" s="44" t="n"/>
      <x:c r="E139" s="44" t="n"/>
      <x:c r="F139" s="44" t="n"/>
      <x:c r="G139" s="44" t="n"/>
      <x:c r="H139" s="44" t="n"/>
      <x:c r="I139" s="44" t="n"/>
      <x:c r="J139" s="44" t="n"/>
      <x:c r="K139" s="44" t="n"/>
      <x:c r="L139" s="45" t="n"/>
      <x:c r="M139" s="46" t="n"/>
      <x:c r="N139" s="62">
        <x:f>IF(OR(F139="",H139="",O139="Нет"),"",IF(H139="Вратарь",IF(L139="Да",Scoring!$C$7,IF(K139=1,Scoring!$C$8,IF(K139=2,Scoring!$C$9,Scoring!$C$10)))+IF(M139="",0,M139),N(IF(I139="",0,I139)*Scoring!$C$5)+N(IF(J139="",0,J139)*Scoring!$C$6)+IF(M139="",0,M139)))</x:f>
      </x:c>
      <x:c r="O139" s="62" t="inlineStr">
        <x:is>
          <x:t xml:space="preserve">Да</x:t>
        </x:is>
      </x:c>
      <x:c r="P139" s="62" t="n"/>
    </x:row>
    <x:row r="140">
      <x:c r="A140" s="42" t="n"/>
      <x:c r="B140" s="43" t="n"/>
      <x:c r="C140" s="43" t="n"/>
      <x:c r="D140" s="44" t="n"/>
      <x:c r="E140" s="44" t="n"/>
      <x:c r="F140" s="44" t="n"/>
      <x:c r="G140" s="44" t="n"/>
      <x:c r="H140" s="44" t="n"/>
      <x:c r="I140" s="44" t="n"/>
      <x:c r="J140" s="44" t="n"/>
      <x:c r="K140" s="44" t="n"/>
      <x:c r="L140" s="45" t="n"/>
      <x:c r="M140" s="46" t="n"/>
      <x:c r="N140" s="62">
        <x:f>IF(OR(F140="",H140="",O140="Нет"),"",IF(H140="Вратарь",IF(L140="Да",Scoring!$C$7,IF(K140=1,Scoring!$C$8,IF(K140=2,Scoring!$C$9,Scoring!$C$10)))+IF(M140="",0,M140),N(IF(I140="",0,I140)*Scoring!$C$5)+N(IF(J140="",0,J140)*Scoring!$C$6)+IF(M140="",0,M140)))</x:f>
      </x:c>
      <x:c r="O140" s="62" t="inlineStr">
        <x:is>
          <x:t xml:space="preserve">Да</x:t>
        </x:is>
      </x:c>
      <x:c r="P140" s="62" t="n"/>
    </x:row>
    <x:row r="141">
      <x:c r="A141" s="42" t="n"/>
      <x:c r="B141" s="43" t="n"/>
      <x:c r="C141" s="43" t="n"/>
      <x:c r="D141" s="44" t="n"/>
      <x:c r="E141" s="44" t="n"/>
      <x:c r="F141" s="44" t="n"/>
      <x:c r="G141" s="44" t="n"/>
      <x:c r="H141" s="44" t="n"/>
      <x:c r="I141" s="44" t="n"/>
      <x:c r="J141" s="44" t="n"/>
      <x:c r="K141" s="44" t="n"/>
      <x:c r="L141" s="45" t="n"/>
      <x:c r="M141" s="46" t="n"/>
      <x:c r="N141" s="62">
        <x:f>IF(OR(F141="",H141="",O141="Нет"),"",IF(H141="Вратарь",IF(L141="Да",Scoring!$C$7,IF(K141=1,Scoring!$C$8,IF(K141=2,Scoring!$C$9,Scoring!$C$10)))+IF(M141="",0,M141),N(IF(I141="",0,I141)*Scoring!$C$5)+N(IF(J141="",0,J141)*Scoring!$C$6)+IF(M141="",0,M141)))</x:f>
      </x:c>
      <x:c r="O141" s="62" t="inlineStr">
        <x:is>
          <x:t xml:space="preserve">Да</x:t>
        </x:is>
      </x:c>
      <x:c r="P141" s="62" t="n"/>
    </x:row>
    <x:row r="142">
      <x:c r="A142" s="42" t="n"/>
      <x:c r="B142" s="43" t="n"/>
      <x:c r="C142" s="43" t="n"/>
      <x:c r="D142" s="44" t="n"/>
      <x:c r="E142" s="44" t="n"/>
      <x:c r="F142" s="44" t="n"/>
      <x:c r="G142" s="44" t="n"/>
      <x:c r="H142" s="44" t="n"/>
      <x:c r="I142" s="44" t="n"/>
      <x:c r="J142" s="44" t="n"/>
      <x:c r="K142" s="44" t="n"/>
      <x:c r="L142" s="45" t="n"/>
      <x:c r="M142" s="46" t="n"/>
      <x:c r="N142" s="62">
        <x:f>IF(OR(F142="",H142="",O142="Нет"),"",IF(H142="Вратарь",IF(L142="Да",Scoring!$C$7,IF(K142=1,Scoring!$C$8,IF(K142=2,Scoring!$C$9,Scoring!$C$10)))+IF(M142="",0,M142),N(IF(I142="",0,I142)*Scoring!$C$5)+N(IF(J142="",0,J142)*Scoring!$C$6)+IF(M142="",0,M142)))</x:f>
      </x:c>
      <x:c r="O142" s="62" t="inlineStr">
        <x:is>
          <x:t xml:space="preserve">Да</x:t>
        </x:is>
      </x:c>
      <x:c r="P142" s="62" t="n"/>
    </x:row>
    <x:row r="143">
      <x:c r="A143" s="42" t="n"/>
      <x:c r="B143" s="43" t="n"/>
      <x:c r="C143" s="43" t="n"/>
      <x:c r="D143" s="44" t="n"/>
      <x:c r="E143" s="44" t="n"/>
      <x:c r="F143" s="44" t="n"/>
      <x:c r="G143" s="44" t="n"/>
      <x:c r="H143" s="44" t="n"/>
      <x:c r="I143" s="44" t="n"/>
      <x:c r="J143" s="44" t="n"/>
      <x:c r="K143" s="44" t="n"/>
      <x:c r="L143" s="45" t="n"/>
      <x:c r="M143" s="46" t="n"/>
      <x:c r="N143" s="62">
        <x:f>IF(OR(F143="",H143="",O143="Нет"),"",IF(H143="Вратарь",IF(L143="Да",Scoring!$C$7,IF(K143=1,Scoring!$C$8,IF(K143=2,Scoring!$C$9,Scoring!$C$10)))+IF(M143="",0,M143),N(IF(I143="",0,I143)*Scoring!$C$5)+N(IF(J143="",0,J143)*Scoring!$C$6)+IF(M143="",0,M143)))</x:f>
      </x:c>
      <x:c r="O143" s="62" t="inlineStr">
        <x:is>
          <x:t xml:space="preserve">Да</x:t>
        </x:is>
      </x:c>
      <x:c r="P143" s="62" t="n"/>
    </x:row>
    <x:row r="144">
      <x:c r="A144" s="42" t="n"/>
      <x:c r="B144" s="43" t="n"/>
      <x:c r="C144" s="43" t="n"/>
      <x:c r="D144" s="44" t="n"/>
      <x:c r="E144" s="44" t="n"/>
      <x:c r="F144" s="44" t="n"/>
      <x:c r="G144" s="44" t="n"/>
      <x:c r="H144" s="44" t="n"/>
      <x:c r="I144" s="44" t="n"/>
      <x:c r="J144" s="44" t="n"/>
      <x:c r="K144" s="44" t="n"/>
      <x:c r="L144" s="45" t="n"/>
      <x:c r="M144" s="46" t="n"/>
      <x:c r="N144" s="62">
        <x:f>IF(OR(F144="",H144="",O144="Нет"),"",IF(H144="Вратарь",IF(L144="Да",Scoring!$C$7,IF(K144=1,Scoring!$C$8,IF(K144=2,Scoring!$C$9,Scoring!$C$10)))+IF(M144="",0,M144),N(IF(I144="",0,I144)*Scoring!$C$5)+N(IF(J144="",0,J144)*Scoring!$C$6)+IF(M144="",0,M144)))</x:f>
      </x:c>
      <x:c r="O144" s="62" t="inlineStr">
        <x:is>
          <x:t xml:space="preserve">Да</x:t>
        </x:is>
      </x:c>
      <x:c r="P144" s="62" t="n"/>
    </x:row>
    <x:row r="145">
      <x:c r="A145" s="42" t="n"/>
      <x:c r="B145" s="43" t="n"/>
      <x:c r="C145" s="43" t="n"/>
      <x:c r="D145" s="44" t="n"/>
      <x:c r="E145" s="44" t="n"/>
      <x:c r="F145" s="44" t="n"/>
      <x:c r="G145" s="44" t="n"/>
      <x:c r="H145" s="44" t="n"/>
      <x:c r="I145" s="44" t="n"/>
      <x:c r="J145" s="44" t="n"/>
      <x:c r="K145" s="44" t="n"/>
      <x:c r="L145" s="45" t="n"/>
      <x:c r="M145" s="46" t="n"/>
      <x:c r="N145" s="62">
        <x:f>IF(OR(F145="",H145="",O145="Нет"),"",IF(H145="Вратарь",IF(L145="Да",Scoring!$C$7,IF(K145=1,Scoring!$C$8,IF(K145=2,Scoring!$C$9,Scoring!$C$10)))+IF(M145="",0,M145),N(IF(I145="",0,I145)*Scoring!$C$5)+N(IF(J145="",0,J145)*Scoring!$C$6)+IF(M145="",0,M145)))</x:f>
      </x:c>
      <x:c r="O145" s="62" t="inlineStr">
        <x:is>
          <x:t xml:space="preserve">Да</x:t>
        </x:is>
      </x:c>
      <x:c r="P145" s="62" t="n"/>
    </x:row>
    <x:row r="146">
      <x:c r="A146" s="42" t="n"/>
      <x:c r="B146" s="43" t="n"/>
      <x:c r="C146" s="43" t="n"/>
      <x:c r="D146" s="44" t="n"/>
      <x:c r="E146" s="44" t="n"/>
      <x:c r="F146" s="44" t="n"/>
      <x:c r="G146" s="44" t="n"/>
      <x:c r="H146" s="44" t="n"/>
      <x:c r="I146" s="44" t="n"/>
      <x:c r="J146" s="44" t="n"/>
      <x:c r="K146" s="44" t="n"/>
      <x:c r="L146" s="45" t="n"/>
      <x:c r="M146" s="46" t="n"/>
      <x:c r="N146" s="62">
        <x:f>IF(OR(F146="",H146="",O146="Нет"),"",IF(H146="Вратарь",IF(L146="Да",Scoring!$C$7,IF(K146=1,Scoring!$C$8,IF(K146=2,Scoring!$C$9,Scoring!$C$10)))+IF(M146="",0,M146),N(IF(I146="",0,I146)*Scoring!$C$5)+N(IF(J146="",0,J146)*Scoring!$C$6)+IF(M146="",0,M146)))</x:f>
      </x:c>
      <x:c r="O146" s="62" t="inlineStr">
        <x:is>
          <x:t xml:space="preserve">Да</x:t>
        </x:is>
      </x:c>
      <x:c r="P146" s="62" t="n"/>
    </x:row>
    <x:row r="147">
      <x:c r="A147" s="42" t="n"/>
      <x:c r="B147" s="43" t="n"/>
      <x:c r="C147" s="43" t="n"/>
      <x:c r="D147" s="44" t="n"/>
      <x:c r="E147" s="44" t="n"/>
      <x:c r="F147" s="44" t="n"/>
      <x:c r="G147" s="44" t="n"/>
      <x:c r="H147" s="44" t="n"/>
      <x:c r="I147" s="44" t="n"/>
      <x:c r="J147" s="44" t="n"/>
      <x:c r="K147" s="44" t="n"/>
      <x:c r="L147" s="45" t="n"/>
      <x:c r="M147" s="46" t="n"/>
      <x:c r="N147" s="62">
        <x:f>IF(OR(F147="",H147="",O147="Нет"),"",IF(H147="Вратарь",IF(L147="Да",Scoring!$C$7,IF(K147=1,Scoring!$C$8,IF(K147=2,Scoring!$C$9,Scoring!$C$10)))+IF(M147="",0,M147),N(IF(I147="",0,I147)*Scoring!$C$5)+N(IF(J147="",0,J147)*Scoring!$C$6)+IF(M147="",0,M147)))</x:f>
      </x:c>
      <x:c r="O147" s="62" t="inlineStr">
        <x:is>
          <x:t xml:space="preserve">Да</x:t>
        </x:is>
      </x:c>
      <x:c r="P147" s="62" t="n"/>
    </x:row>
    <x:row r="148">
      <x:c r="A148" s="42" t="n"/>
      <x:c r="B148" s="43" t="n"/>
      <x:c r="C148" s="43" t="n"/>
      <x:c r="D148" s="44" t="n"/>
      <x:c r="E148" s="44" t="n"/>
      <x:c r="F148" s="44" t="n"/>
      <x:c r="G148" s="44" t="n"/>
      <x:c r="H148" s="44" t="n"/>
      <x:c r="I148" s="44" t="n"/>
      <x:c r="J148" s="44" t="n"/>
      <x:c r="K148" s="44" t="n"/>
      <x:c r="L148" s="45" t="n"/>
      <x:c r="M148" s="46" t="n"/>
      <x:c r="N148" s="62">
        <x:f>IF(OR(F148="",H148="",O148="Нет"),"",IF(H148="Вратарь",IF(L148="Да",Scoring!$C$7,IF(K148=1,Scoring!$C$8,IF(K148=2,Scoring!$C$9,Scoring!$C$10)))+IF(M148="",0,M148),N(IF(I148="",0,I148)*Scoring!$C$5)+N(IF(J148="",0,J148)*Scoring!$C$6)+IF(M148="",0,M148)))</x:f>
      </x:c>
      <x:c r="O148" s="62" t="inlineStr">
        <x:is>
          <x:t xml:space="preserve">Да</x:t>
        </x:is>
      </x:c>
      <x:c r="P148" s="62" t="n"/>
    </x:row>
    <x:row r="149">
      <x:c r="A149" s="42" t="n"/>
      <x:c r="B149" s="43" t="n"/>
      <x:c r="C149" s="43" t="n"/>
      <x:c r="D149" s="44" t="n"/>
      <x:c r="E149" s="44" t="n"/>
      <x:c r="F149" s="44" t="n"/>
      <x:c r="G149" s="44" t="n"/>
      <x:c r="H149" s="44" t="n"/>
      <x:c r="I149" s="44" t="n"/>
      <x:c r="J149" s="44" t="n"/>
      <x:c r="K149" s="44" t="n"/>
      <x:c r="L149" s="45" t="n"/>
      <x:c r="M149" s="46" t="n"/>
      <x:c r="N149" s="62">
        <x:f>IF(OR(F149="",H149="",O149="Нет"),"",IF(H149="Вратарь",IF(L149="Да",Scoring!$C$7,IF(K149=1,Scoring!$C$8,IF(K149=2,Scoring!$C$9,Scoring!$C$10)))+IF(M149="",0,M149),N(IF(I149="",0,I149)*Scoring!$C$5)+N(IF(J149="",0,J149)*Scoring!$C$6)+IF(M149="",0,M149)))</x:f>
      </x:c>
      <x:c r="O149" s="62" t="inlineStr">
        <x:is>
          <x:t xml:space="preserve">Да</x:t>
        </x:is>
      </x:c>
      <x:c r="P149" s="62" t="n"/>
    </x:row>
    <x:row r="150">
      <x:c r="A150" s="42" t="n"/>
      <x:c r="B150" s="43" t="n"/>
      <x:c r="C150" s="43" t="n"/>
      <x:c r="D150" s="44" t="n"/>
      <x:c r="E150" s="44" t="n"/>
      <x:c r="F150" s="44" t="n"/>
      <x:c r="G150" s="44" t="n"/>
      <x:c r="H150" s="44" t="n"/>
      <x:c r="I150" s="44" t="n"/>
      <x:c r="J150" s="44" t="n"/>
      <x:c r="K150" s="44" t="n"/>
      <x:c r="L150" s="45" t="n"/>
      <x:c r="M150" s="46" t="n"/>
      <x:c r="N150" s="62">
        <x:f>IF(OR(F150="",H150="",O150="Нет"),"",IF(H150="Вратарь",IF(L150="Да",Scoring!$C$7,IF(K150=1,Scoring!$C$8,IF(K150=2,Scoring!$C$9,Scoring!$C$10)))+IF(M150="",0,M150),N(IF(I150="",0,I150)*Scoring!$C$5)+N(IF(J150="",0,J150)*Scoring!$C$6)+IF(M150="",0,M150)))</x:f>
      </x:c>
      <x:c r="O150" s="62" t="inlineStr">
        <x:is>
          <x:t xml:space="preserve">Да</x:t>
        </x:is>
      </x:c>
      <x:c r="P150" s="62" t="n"/>
    </x:row>
    <x:row r="151">
      <x:c r="A151" s="42" t="n"/>
      <x:c r="B151" s="43" t="n"/>
      <x:c r="C151" s="43" t="n"/>
      <x:c r="D151" s="44" t="n"/>
      <x:c r="E151" s="44" t="n"/>
      <x:c r="F151" s="44" t="n"/>
      <x:c r="G151" s="44" t="n"/>
      <x:c r="H151" s="44" t="n"/>
      <x:c r="I151" s="44" t="n"/>
      <x:c r="J151" s="44" t="n"/>
      <x:c r="K151" s="44" t="n"/>
      <x:c r="L151" s="45" t="n"/>
      <x:c r="M151" s="46" t="n"/>
      <x:c r="N151" s="62">
        <x:f>IF(OR(F151="",H151="",O151="Нет"),"",IF(H151="Вратарь",IF(L151="Да",Scoring!$C$7,IF(K151=1,Scoring!$C$8,IF(K151=2,Scoring!$C$9,Scoring!$C$10)))+IF(M151="",0,M151),N(IF(I151="",0,I151)*Scoring!$C$5)+N(IF(J151="",0,J151)*Scoring!$C$6)+IF(M151="",0,M151)))</x:f>
      </x:c>
      <x:c r="O151" s="62" t="inlineStr">
        <x:is>
          <x:t xml:space="preserve">Да</x:t>
        </x:is>
      </x:c>
      <x:c r="P151" s="62" t="n"/>
    </x:row>
    <x:row r="152">
      <x:c r="A152" s="42" t="n"/>
      <x:c r="B152" s="43" t="n"/>
      <x:c r="C152" s="43" t="n"/>
      <x:c r="D152" s="44" t="n"/>
      <x:c r="E152" s="44" t="n"/>
      <x:c r="F152" s="44" t="n"/>
      <x:c r="G152" s="44" t="n"/>
      <x:c r="H152" s="44" t="n"/>
      <x:c r="I152" s="44" t="n"/>
      <x:c r="J152" s="44" t="n"/>
      <x:c r="K152" s="44" t="n"/>
      <x:c r="L152" s="45" t="n"/>
      <x:c r="M152" s="46" t="n"/>
      <x:c r="N152" s="62">
        <x:f>IF(OR(F152="",H152="",O152="Нет"),"",IF(H152="Вратарь",IF(L152="Да",Scoring!$C$7,IF(K152=1,Scoring!$C$8,IF(K152=2,Scoring!$C$9,Scoring!$C$10)))+IF(M152="",0,M152),N(IF(I152="",0,I152)*Scoring!$C$5)+N(IF(J152="",0,J152)*Scoring!$C$6)+IF(M152="",0,M152)))</x:f>
      </x:c>
      <x:c r="O152" s="62" t="inlineStr">
        <x:is>
          <x:t xml:space="preserve">Да</x:t>
        </x:is>
      </x:c>
      <x:c r="P152" s="62" t="n"/>
    </x:row>
    <x:row r="153">
      <x:c r="A153" s="42" t="n"/>
      <x:c r="B153" s="43" t="n"/>
      <x:c r="C153" s="43" t="n"/>
      <x:c r="D153" s="44" t="n"/>
      <x:c r="E153" s="44" t="n"/>
      <x:c r="F153" s="44" t="n"/>
      <x:c r="G153" s="44" t="n"/>
      <x:c r="H153" s="44" t="n"/>
      <x:c r="I153" s="44" t="n"/>
      <x:c r="J153" s="44" t="n"/>
      <x:c r="K153" s="44" t="n"/>
      <x:c r="L153" s="45" t="n"/>
      <x:c r="M153" s="46" t="n"/>
      <x:c r="N153" s="62">
        <x:f>IF(OR(F153="",H153="",O153="Нет"),"",IF(H153="Вратарь",IF(L153="Да",Scoring!$C$7,IF(K153=1,Scoring!$C$8,IF(K153=2,Scoring!$C$9,Scoring!$C$10)))+IF(M153="",0,M153),N(IF(I153="",0,I153)*Scoring!$C$5)+N(IF(J153="",0,J153)*Scoring!$C$6)+IF(M153="",0,M153)))</x:f>
      </x:c>
      <x:c r="O153" s="62" t="inlineStr">
        <x:is>
          <x:t xml:space="preserve">Да</x:t>
        </x:is>
      </x:c>
      <x:c r="P153" s="62" t="n"/>
    </x:row>
    <x:row r="154">
      <x:c r="A154" s="42" t="n"/>
      <x:c r="B154" s="43" t="n"/>
      <x:c r="C154" s="43" t="n"/>
      <x:c r="D154" s="44" t="n"/>
      <x:c r="E154" s="44" t="n"/>
      <x:c r="F154" s="44" t="n"/>
      <x:c r="G154" s="44" t="n"/>
      <x:c r="H154" s="44" t="n"/>
      <x:c r="I154" s="44" t="n"/>
      <x:c r="J154" s="44" t="n"/>
      <x:c r="K154" s="44" t="n"/>
      <x:c r="L154" s="45" t="n"/>
      <x:c r="M154" s="46" t="n"/>
      <x:c r="N154" s="62">
        <x:f>IF(OR(F154="",H154="",O154="Нет"),"",IF(H154="Вратарь",IF(L154="Да",Scoring!$C$7,IF(K154=1,Scoring!$C$8,IF(K154=2,Scoring!$C$9,Scoring!$C$10)))+IF(M154="",0,M154),N(IF(I154="",0,I154)*Scoring!$C$5)+N(IF(J154="",0,J154)*Scoring!$C$6)+IF(M154="",0,M154)))</x:f>
      </x:c>
      <x:c r="O154" s="62" t="inlineStr">
        <x:is>
          <x:t xml:space="preserve">Да</x:t>
        </x:is>
      </x:c>
      <x:c r="P154" s="62" t="n"/>
    </x:row>
    <x:row r="155">
      <x:c r="A155" s="42" t="n"/>
      <x:c r="B155" s="43" t="n"/>
      <x:c r="C155" s="43" t="n"/>
      <x:c r="D155" s="44" t="n"/>
      <x:c r="E155" s="44" t="n"/>
      <x:c r="F155" s="44" t="n"/>
      <x:c r="G155" s="44" t="n"/>
      <x:c r="H155" s="44" t="n"/>
      <x:c r="I155" s="44" t="n"/>
      <x:c r="J155" s="44" t="n"/>
      <x:c r="K155" s="44" t="n"/>
      <x:c r="L155" s="45" t="n"/>
      <x:c r="M155" s="46" t="n"/>
      <x:c r="N155" s="62">
        <x:f>IF(OR(F155="",H155="",O155="Нет"),"",IF(H155="Вратарь",IF(L155="Да",Scoring!$C$7,IF(K155=1,Scoring!$C$8,IF(K155=2,Scoring!$C$9,Scoring!$C$10)))+IF(M155="",0,M155),N(IF(I155="",0,I155)*Scoring!$C$5)+N(IF(J155="",0,J155)*Scoring!$C$6)+IF(M155="",0,M155)))</x:f>
      </x:c>
      <x:c r="O155" s="62" t="inlineStr">
        <x:is>
          <x:t xml:space="preserve">Да</x:t>
        </x:is>
      </x:c>
      <x:c r="P155" s="62" t="n"/>
    </x:row>
    <x:row r="156">
      <x:c r="A156" s="42" t="n"/>
      <x:c r="B156" s="43" t="n"/>
      <x:c r="C156" s="43" t="n"/>
      <x:c r="D156" s="44" t="n"/>
      <x:c r="E156" s="44" t="n"/>
      <x:c r="F156" s="44" t="n"/>
      <x:c r="G156" s="44" t="n"/>
      <x:c r="H156" s="44" t="n"/>
      <x:c r="I156" s="44" t="n"/>
      <x:c r="J156" s="44" t="n"/>
      <x:c r="K156" s="44" t="n"/>
      <x:c r="L156" s="45" t="n"/>
      <x:c r="M156" s="46" t="n"/>
      <x:c r="N156" s="62">
        <x:f>IF(OR(F156="",H156="",O156="Нет"),"",IF(H156="Вратарь",IF(L156="Да",Scoring!$C$7,IF(K156=1,Scoring!$C$8,IF(K156=2,Scoring!$C$9,Scoring!$C$10)))+IF(M156="",0,M156),N(IF(I156="",0,I156)*Scoring!$C$5)+N(IF(J156="",0,J156)*Scoring!$C$6)+IF(M156="",0,M156)))</x:f>
      </x:c>
      <x:c r="O156" s="62" t="inlineStr">
        <x:is>
          <x:t xml:space="preserve">Да</x:t>
        </x:is>
      </x:c>
      <x:c r="P156" s="62" t="n"/>
    </x:row>
    <x:row r="157">
      <x:c r="A157" s="42" t="n"/>
      <x:c r="B157" s="43" t="n"/>
      <x:c r="C157" s="43" t="n"/>
      <x:c r="D157" s="44" t="n"/>
      <x:c r="E157" s="44" t="n"/>
      <x:c r="F157" s="44" t="n"/>
      <x:c r="G157" s="44" t="n"/>
      <x:c r="H157" s="44" t="n"/>
      <x:c r="I157" s="44" t="n"/>
      <x:c r="J157" s="44" t="n"/>
      <x:c r="K157" s="44" t="n"/>
      <x:c r="L157" s="45" t="n"/>
      <x:c r="M157" s="46" t="n"/>
      <x:c r="N157" s="62">
        <x:f>IF(OR(F157="",H157="",O157="Нет"),"",IF(H157="Вратарь",IF(L157="Да",Scoring!$C$7,IF(K157=1,Scoring!$C$8,IF(K157=2,Scoring!$C$9,Scoring!$C$10)))+IF(M157="",0,M157),N(IF(I157="",0,I157)*Scoring!$C$5)+N(IF(J157="",0,J157)*Scoring!$C$6)+IF(M157="",0,M157)))</x:f>
      </x:c>
      <x:c r="O157" s="62" t="inlineStr">
        <x:is>
          <x:t xml:space="preserve">Да</x:t>
        </x:is>
      </x:c>
      <x:c r="P157" s="62" t="n"/>
    </x:row>
    <x:row r="158">
      <x:c r="A158" s="42" t="n"/>
      <x:c r="B158" s="43" t="n"/>
      <x:c r="C158" s="43" t="n"/>
      <x:c r="D158" s="44" t="n"/>
      <x:c r="E158" s="44" t="n"/>
      <x:c r="F158" s="44" t="n"/>
      <x:c r="G158" s="44" t="n"/>
      <x:c r="H158" s="44" t="n"/>
      <x:c r="I158" s="44" t="n"/>
      <x:c r="J158" s="44" t="n"/>
      <x:c r="K158" s="44" t="n"/>
      <x:c r="L158" s="45" t="n"/>
      <x:c r="M158" s="46" t="n"/>
      <x:c r="N158" s="62">
        <x:f>IF(OR(F158="",H158="",O158="Нет"),"",IF(H158="Вратарь",IF(L158="Да",Scoring!$C$7,IF(K158=1,Scoring!$C$8,IF(K158=2,Scoring!$C$9,Scoring!$C$10)))+IF(M158="",0,M158),N(IF(I158="",0,I158)*Scoring!$C$5)+N(IF(J158="",0,J158)*Scoring!$C$6)+IF(M158="",0,M158)))</x:f>
      </x:c>
      <x:c r="O158" s="62" t="inlineStr">
        <x:is>
          <x:t xml:space="preserve">Да</x:t>
        </x:is>
      </x:c>
      <x:c r="P158" s="62" t="n"/>
    </x:row>
    <x:row r="159">
      <x:c r="A159" s="42" t="n"/>
      <x:c r="B159" s="43" t="n"/>
      <x:c r="C159" s="43" t="n"/>
      <x:c r="D159" s="44" t="n"/>
      <x:c r="E159" s="44" t="n"/>
      <x:c r="F159" s="44" t="n"/>
      <x:c r="G159" s="44" t="n"/>
      <x:c r="H159" s="44" t="n"/>
      <x:c r="I159" s="44" t="n"/>
      <x:c r="J159" s="44" t="n"/>
      <x:c r="K159" s="44" t="n"/>
      <x:c r="L159" s="45" t="n"/>
      <x:c r="M159" s="46" t="n"/>
      <x:c r="N159" s="62">
        <x:f>IF(OR(F159="",H159="",O159="Нет"),"",IF(H159="Вратарь",IF(L159="Да",Scoring!$C$7,IF(K159=1,Scoring!$C$8,IF(K159=2,Scoring!$C$9,Scoring!$C$10)))+IF(M159="",0,M159),N(IF(I159="",0,I159)*Scoring!$C$5)+N(IF(J159="",0,J159)*Scoring!$C$6)+IF(M159="",0,M159)))</x:f>
      </x:c>
      <x:c r="O159" s="62" t="inlineStr">
        <x:is>
          <x:t xml:space="preserve">Да</x:t>
        </x:is>
      </x:c>
      <x:c r="P159" s="62" t="n"/>
    </x:row>
    <x:row r="160">
      <x:c r="A160" s="42" t="n"/>
      <x:c r="B160" s="43" t="n"/>
      <x:c r="C160" s="43" t="n"/>
      <x:c r="D160" s="44" t="n"/>
      <x:c r="E160" s="44" t="n"/>
      <x:c r="F160" s="44" t="n"/>
      <x:c r="G160" s="44" t="n"/>
      <x:c r="H160" s="44" t="n"/>
      <x:c r="I160" s="44" t="n"/>
      <x:c r="J160" s="44" t="n"/>
      <x:c r="K160" s="44" t="n"/>
      <x:c r="L160" s="45" t="n"/>
      <x:c r="M160" s="46" t="n"/>
      <x:c r="N160" s="62">
        <x:f>IF(OR(F160="",H160="",O160="Нет"),"",IF(H160="Вратарь",IF(L160="Да",Scoring!$C$7,IF(K160=1,Scoring!$C$8,IF(K160=2,Scoring!$C$9,Scoring!$C$10)))+IF(M160="",0,M160),N(IF(I160="",0,I160)*Scoring!$C$5)+N(IF(J160="",0,J160)*Scoring!$C$6)+IF(M160="",0,M160)))</x:f>
      </x:c>
      <x:c r="O160" s="62" t="inlineStr">
        <x:is>
          <x:t xml:space="preserve">Да</x:t>
        </x:is>
      </x:c>
      <x:c r="P160" s="62" t="n"/>
    </x:row>
    <x:row r="161">
      <x:c r="A161" s="42" t="n"/>
      <x:c r="B161" s="43" t="n"/>
      <x:c r="C161" s="43" t="n"/>
      <x:c r="D161" s="44" t="n"/>
      <x:c r="E161" s="44" t="n"/>
      <x:c r="F161" s="44" t="n"/>
      <x:c r="G161" s="44" t="n"/>
      <x:c r="H161" s="44" t="n"/>
      <x:c r="I161" s="44" t="n"/>
      <x:c r="J161" s="44" t="n"/>
      <x:c r="K161" s="44" t="n"/>
      <x:c r="L161" s="45" t="n"/>
      <x:c r="M161" s="46" t="n"/>
      <x:c r="N161" s="62">
        <x:f>IF(OR(F161="",H161="",O161="Нет"),"",IF(H161="Вратарь",IF(L161="Да",Scoring!$C$7,IF(K161=1,Scoring!$C$8,IF(K161=2,Scoring!$C$9,Scoring!$C$10)))+IF(M161="",0,M161),N(IF(I161="",0,I161)*Scoring!$C$5)+N(IF(J161="",0,J161)*Scoring!$C$6)+IF(M161="",0,M161)))</x:f>
      </x:c>
      <x:c r="O161" s="62" t="inlineStr">
        <x:is>
          <x:t xml:space="preserve">Да</x:t>
        </x:is>
      </x:c>
      <x:c r="P161" s="62" t="n"/>
    </x:row>
    <x:row r="162">
      <x:c r="A162" s="42" t="n"/>
      <x:c r="B162" s="43" t="n"/>
      <x:c r="C162" s="43" t="n"/>
      <x:c r="D162" s="44" t="n"/>
      <x:c r="E162" s="44" t="n"/>
      <x:c r="F162" s="44" t="n"/>
      <x:c r="G162" s="44" t="n"/>
      <x:c r="H162" s="44" t="n"/>
      <x:c r="I162" s="44" t="n"/>
      <x:c r="J162" s="44" t="n"/>
      <x:c r="K162" s="44" t="n"/>
      <x:c r="L162" s="45" t="n"/>
      <x:c r="M162" s="46" t="n"/>
      <x:c r="N162" s="62">
        <x:f>IF(OR(F162="",H162="",O162="Нет"),"",IF(H162="Вратарь",IF(L162="Да",Scoring!$C$7,IF(K162=1,Scoring!$C$8,IF(K162=2,Scoring!$C$9,Scoring!$C$10)))+IF(M162="",0,M162),N(IF(I162="",0,I162)*Scoring!$C$5)+N(IF(J162="",0,J162)*Scoring!$C$6)+IF(M162="",0,M162)))</x:f>
      </x:c>
      <x:c r="O162" s="62" t="inlineStr">
        <x:is>
          <x:t xml:space="preserve">Да</x:t>
        </x:is>
      </x:c>
      <x:c r="P162" s="62" t="n"/>
    </x:row>
    <x:row r="163">
      <x:c r="A163" s="42" t="n"/>
      <x:c r="B163" s="43" t="n"/>
      <x:c r="C163" s="43" t="n"/>
      <x:c r="D163" s="44" t="n"/>
      <x:c r="E163" s="44" t="n"/>
      <x:c r="F163" s="44" t="n"/>
      <x:c r="G163" s="44" t="n"/>
      <x:c r="H163" s="44" t="n"/>
      <x:c r="I163" s="44" t="n"/>
      <x:c r="J163" s="44" t="n"/>
      <x:c r="K163" s="44" t="n"/>
      <x:c r="L163" s="45" t="n"/>
      <x:c r="M163" s="46" t="n"/>
      <x:c r="N163" s="62">
        <x:f>IF(OR(F163="",H163="",O163="Нет"),"",IF(H163="Вратарь",IF(L163="Да",Scoring!$C$7,IF(K163=1,Scoring!$C$8,IF(K163=2,Scoring!$C$9,Scoring!$C$10)))+IF(M163="",0,M163),N(IF(I163="",0,I163)*Scoring!$C$5)+N(IF(J163="",0,J163)*Scoring!$C$6)+IF(M163="",0,M163)))</x:f>
      </x:c>
      <x:c r="O163" s="62" t="inlineStr">
        <x:is>
          <x:t xml:space="preserve">Да</x:t>
        </x:is>
      </x:c>
      <x:c r="P163" s="62" t="n"/>
    </x:row>
    <x:row r="164">
      <x:c r="A164" s="42" t="n"/>
      <x:c r="B164" s="43" t="n"/>
      <x:c r="C164" s="43" t="n"/>
      <x:c r="D164" s="44" t="n"/>
      <x:c r="E164" s="44" t="n"/>
      <x:c r="F164" s="44" t="n"/>
      <x:c r="G164" s="44" t="n"/>
      <x:c r="H164" s="44" t="n"/>
      <x:c r="I164" s="44" t="n"/>
      <x:c r="J164" s="44" t="n"/>
      <x:c r="K164" s="44" t="n"/>
      <x:c r="L164" s="45" t="n"/>
      <x:c r="M164" s="46" t="n"/>
      <x:c r="N164" s="62">
        <x:f>IF(OR(F164="",H164="",O164="Нет"),"",IF(H164="Вратарь",IF(L164="Да",Scoring!$C$7,IF(K164=1,Scoring!$C$8,IF(K164=2,Scoring!$C$9,Scoring!$C$10)))+IF(M164="",0,M164),N(IF(I164="",0,I164)*Scoring!$C$5)+N(IF(J164="",0,J164)*Scoring!$C$6)+IF(M164="",0,M164)))</x:f>
      </x:c>
      <x:c r="O164" s="62" t="inlineStr">
        <x:is>
          <x:t xml:space="preserve">Да</x:t>
        </x:is>
      </x:c>
      <x:c r="P164" s="62" t="n"/>
    </x:row>
    <x:row r="165">
      <x:c r="A165" s="42" t="n"/>
      <x:c r="B165" s="43" t="n"/>
      <x:c r="C165" s="43" t="n"/>
      <x:c r="D165" s="44" t="n"/>
      <x:c r="E165" s="44" t="n"/>
      <x:c r="F165" s="44" t="n"/>
      <x:c r="G165" s="44" t="n"/>
      <x:c r="H165" s="44" t="n"/>
      <x:c r="I165" s="44" t="n"/>
      <x:c r="J165" s="44" t="n"/>
      <x:c r="K165" s="44" t="n"/>
      <x:c r="L165" s="45" t="n"/>
      <x:c r="M165" s="46" t="n"/>
      <x:c r="N165" s="62">
        <x:f>IF(OR(F165="",H165="",O165="Нет"),"",IF(H165="Вратарь",IF(L165="Да",Scoring!$C$7,IF(K165=1,Scoring!$C$8,IF(K165=2,Scoring!$C$9,Scoring!$C$10)))+IF(M165="",0,M165),N(IF(I165="",0,I165)*Scoring!$C$5)+N(IF(J165="",0,J165)*Scoring!$C$6)+IF(M165="",0,M165)))</x:f>
      </x:c>
      <x:c r="O165" s="62" t="inlineStr">
        <x:is>
          <x:t xml:space="preserve">Да</x:t>
        </x:is>
      </x:c>
      <x:c r="P165" s="62" t="n"/>
    </x:row>
    <x:row r="166">
      <x:c r="A166" s="42" t="n"/>
      <x:c r="B166" s="43" t="n"/>
      <x:c r="C166" s="43" t="n"/>
      <x:c r="D166" s="44" t="n"/>
      <x:c r="E166" s="44" t="n"/>
      <x:c r="F166" s="44" t="n"/>
      <x:c r="G166" s="44" t="n"/>
      <x:c r="H166" s="44" t="n"/>
      <x:c r="I166" s="44" t="n"/>
      <x:c r="J166" s="44" t="n"/>
      <x:c r="K166" s="44" t="n"/>
      <x:c r="L166" s="45" t="n"/>
      <x:c r="M166" s="46" t="n"/>
      <x:c r="N166" s="62">
        <x:f>IF(OR(F166="",H166="",O166="Нет"),"",IF(H166="Вратарь",IF(L166="Да",Scoring!$C$7,IF(K166=1,Scoring!$C$8,IF(K166=2,Scoring!$C$9,Scoring!$C$10)))+IF(M166="",0,M166),N(IF(I166="",0,I166)*Scoring!$C$5)+N(IF(J166="",0,J166)*Scoring!$C$6)+IF(M166="",0,M166)))</x:f>
      </x:c>
      <x:c r="O166" s="62" t="inlineStr">
        <x:is>
          <x:t xml:space="preserve">Да</x:t>
        </x:is>
      </x:c>
      <x:c r="P166" s="62" t="n"/>
    </x:row>
    <x:row r="167">
      <x:c r="A167" s="42" t="n"/>
      <x:c r="B167" s="43" t="n"/>
      <x:c r="C167" s="43" t="n"/>
      <x:c r="D167" s="44" t="n"/>
      <x:c r="E167" s="44" t="n"/>
      <x:c r="F167" s="44" t="n"/>
      <x:c r="G167" s="44" t="n"/>
      <x:c r="H167" s="44" t="n"/>
      <x:c r="I167" s="44" t="n"/>
      <x:c r="J167" s="44" t="n"/>
      <x:c r="K167" s="44" t="n"/>
      <x:c r="L167" s="45" t="n"/>
      <x:c r="M167" s="46" t="n"/>
      <x:c r="N167" s="62">
        <x:f>IF(OR(F167="",H167="",O167="Нет"),"",IF(H167="Вратарь",IF(L167="Да",Scoring!$C$7,IF(K167=1,Scoring!$C$8,IF(K167=2,Scoring!$C$9,Scoring!$C$10)))+IF(M167="",0,M167),N(IF(I167="",0,I167)*Scoring!$C$5)+N(IF(J167="",0,J167)*Scoring!$C$6)+IF(M167="",0,M167)))</x:f>
      </x:c>
      <x:c r="O167" s="62" t="inlineStr">
        <x:is>
          <x:t xml:space="preserve">Да</x:t>
        </x:is>
      </x:c>
      <x:c r="P167" s="62" t="n"/>
    </x:row>
    <x:row r="168">
      <x:c r="A168" s="42" t="n"/>
      <x:c r="B168" s="43" t="n"/>
      <x:c r="C168" s="43" t="n"/>
      <x:c r="D168" s="44" t="n"/>
      <x:c r="E168" s="44" t="n"/>
      <x:c r="F168" s="44" t="n"/>
      <x:c r="G168" s="44" t="n"/>
      <x:c r="H168" s="44" t="n"/>
      <x:c r="I168" s="44" t="n"/>
      <x:c r="J168" s="44" t="n"/>
      <x:c r="K168" s="44" t="n"/>
      <x:c r="L168" s="45" t="n"/>
      <x:c r="M168" s="46" t="n"/>
      <x:c r="N168" s="62">
        <x:f>IF(OR(F168="",H168="",O168="Нет"),"",IF(H168="Вратарь",IF(L168="Да",Scoring!$C$7,IF(K168=1,Scoring!$C$8,IF(K168=2,Scoring!$C$9,Scoring!$C$10)))+IF(M168="",0,M168),N(IF(I168="",0,I168)*Scoring!$C$5)+N(IF(J168="",0,J168)*Scoring!$C$6)+IF(M168="",0,M168)))</x:f>
      </x:c>
      <x:c r="O168" s="62" t="inlineStr">
        <x:is>
          <x:t xml:space="preserve">Да</x:t>
        </x:is>
      </x:c>
      <x:c r="P168" s="62" t="n"/>
    </x:row>
    <x:row r="169">
      <x:c r="A169" s="42" t="n"/>
      <x:c r="B169" s="43" t="n"/>
      <x:c r="C169" s="43" t="n"/>
      <x:c r="D169" s="44" t="n"/>
      <x:c r="E169" s="44" t="n"/>
      <x:c r="F169" s="44" t="n"/>
      <x:c r="G169" s="44" t="n"/>
      <x:c r="H169" s="44" t="n"/>
      <x:c r="I169" s="44" t="n"/>
      <x:c r="J169" s="44" t="n"/>
      <x:c r="K169" s="44" t="n"/>
      <x:c r="L169" s="45" t="n"/>
      <x:c r="M169" s="46" t="n"/>
      <x:c r="N169" s="62">
        <x:f>IF(OR(F169="",H169="",O169="Нет"),"",IF(H169="Вратарь",IF(L169="Да",Scoring!$C$7,IF(K169=1,Scoring!$C$8,IF(K169=2,Scoring!$C$9,Scoring!$C$10)))+IF(M169="",0,M169),N(IF(I169="",0,I169)*Scoring!$C$5)+N(IF(J169="",0,J169)*Scoring!$C$6)+IF(M169="",0,M169)))</x:f>
      </x:c>
      <x:c r="O169" s="62" t="inlineStr">
        <x:is>
          <x:t xml:space="preserve">Да</x:t>
        </x:is>
      </x:c>
      <x:c r="P169" s="62" t="n"/>
    </x:row>
    <x:row r="170">
      <x:c r="A170" s="42" t="n"/>
      <x:c r="B170" s="43" t="n"/>
      <x:c r="C170" s="43" t="n"/>
      <x:c r="D170" s="44" t="n"/>
      <x:c r="E170" s="44" t="n"/>
      <x:c r="F170" s="44" t="n"/>
      <x:c r="G170" s="44" t="n"/>
      <x:c r="H170" s="44" t="n"/>
      <x:c r="I170" s="44" t="n"/>
      <x:c r="J170" s="44" t="n"/>
      <x:c r="K170" s="44" t="n"/>
      <x:c r="L170" s="45" t="n"/>
      <x:c r="M170" s="46" t="n"/>
      <x:c r="N170" s="62">
        <x:f>IF(OR(F170="",H170="",O170="Нет"),"",IF(H170="Вратарь",IF(L170="Да",Scoring!$C$7,IF(K170=1,Scoring!$C$8,IF(K170=2,Scoring!$C$9,Scoring!$C$10)))+IF(M170="",0,M170),N(IF(I170="",0,I170)*Scoring!$C$5)+N(IF(J170="",0,J170)*Scoring!$C$6)+IF(M170="",0,M170)))</x:f>
      </x:c>
      <x:c r="O170" s="62" t="inlineStr">
        <x:is>
          <x:t xml:space="preserve">Да</x:t>
        </x:is>
      </x:c>
      <x:c r="P170" s="62" t="n"/>
    </x:row>
    <x:row r="171">
      <x:c r="A171" s="42" t="n"/>
      <x:c r="B171" s="43" t="n"/>
      <x:c r="C171" s="43" t="n"/>
      <x:c r="D171" s="44" t="n"/>
      <x:c r="E171" s="44" t="n"/>
      <x:c r="F171" s="44" t="n"/>
      <x:c r="G171" s="44" t="n"/>
      <x:c r="H171" s="44" t="n"/>
      <x:c r="I171" s="44" t="n"/>
      <x:c r="J171" s="44" t="n"/>
      <x:c r="K171" s="44" t="n"/>
      <x:c r="L171" s="45" t="n"/>
      <x:c r="M171" s="46" t="n"/>
      <x:c r="N171" s="62">
        <x:f>IF(OR(F171="",H171="",O171="Нет"),"",IF(H171="Вратарь",IF(L171="Да",Scoring!$C$7,IF(K171=1,Scoring!$C$8,IF(K171=2,Scoring!$C$9,Scoring!$C$10)))+IF(M171="",0,M171),N(IF(I171="",0,I171)*Scoring!$C$5)+N(IF(J171="",0,J171)*Scoring!$C$6)+IF(M171="",0,M171)))</x:f>
      </x:c>
      <x:c r="O171" s="62" t="inlineStr">
        <x:is>
          <x:t xml:space="preserve">Да</x:t>
        </x:is>
      </x:c>
      <x:c r="P171" s="62" t="n"/>
    </x:row>
    <x:row r="172">
      <x:c r="A172" s="42" t="n"/>
      <x:c r="B172" s="43" t="n"/>
      <x:c r="C172" s="43" t="n"/>
      <x:c r="D172" s="44" t="n"/>
      <x:c r="E172" s="44" t="n"/>
      <x:c r="F172" s="44" t="n"/>
      <x:c r="G172" s="44" t="n"/>
      <x:c r="H172" s="44" t="n"/>
      <x:c r="I172" s="44" t="n"/>
      <x:c r="J172" s="44" t="n"/>
      <x:c r="K172" s="44" t="n"/>
      <x:c r="L172" s="45" t="n"/>
      <x:c r="M172" s="46" t="n"/>
      <x:c r="N172" s="62">
        <x:f>IF(OR(F172="",H172="",O172="Нет"),"",IF(H172="Вратарь",IF(L172="Да",Scoring!$C$7,IF(K172=1,Scoring!$C$8,IF(K172=2,Scoring!$C$9,Scoring!$C$10)))+IF(M172="",0,M172),N(IF(I172="",0,I172)*Scoring!$C$5)+N(IF(J172="",0,J172)*Scoring!$C$6)+IF(M172="",0,M172)))</x:f>
      </x:c>
      <x:c r="O172" s="62" t="inlineStr">
        <x:is>
          <x:t xml:space="preserve">Да</x:t>
        </x:is>
      </x:c>
      <x:c r="P172" s="62" t="n"/>
    </x:row>
    <x:row r="173">
      <x:c r="A173" s="42" t="n"/>
      <x:c r="B173" s="43" t="n"/>
      <x:c r="C173" s="43" t="n"/>
      <x:c r="D173" s="44" t="n"/>
      <x:c r="E173" s="44" t="n"/>
      <x:c r="F173" s="44" t="n"/>
      <x:c r="G173" s="44" t="n"/>
      <x:c r="H173" s="44" t="n"/>
      <x:c r="I173" s="44" t="n"/>
      <x:c r="J173" s="44" t="n"/>
      <x:c r="K173" s="44" t="n"/>
      <x:c r="L173" s="45" t="n"/>
      <x:c r="M173" s="46" t="n"/>
      <x:c r="N173" s="62">
        <x:f>IF(OR(F173="",H173="",O173="Нет"),"",IF(H173="Вратарь",IF(L173="Да",Scoring!$C$7,IF(K173=1,Scoring!$C$8,IF(K173=2,Scoring!$C$9,Scoring!$C$10)))+IF(M173="",0,M173),N(IF(I173="",0,I173)*Scoring!$C$5)+N(IF(J173="",0,J173)*Scoring!$C$6)+IF(M173="",0,M173)))</x:f>
      </x:c>
      <x:c r="O173" s="62" t="inlineStr">
        <x:is>
          <x:t xml:space="preserve">Да</x:t>
        </x:is>
      </x:c>
      <x:c r="P173" s="62" t="n"/>
    </x:row>
    <x:row r="174">
      <x:c r="A174" s="42" t="n"/>
      <x:c r="B174" s="43" t="n"/>
      <x:c r="C174" s="43" t="n"/>
      <x:c r="D174" s="44" t="n"/>
      <x:c r="E174" s="44" t="n"/>
      <x:c r="F174" s="44" t="n"/>
      <x:c r="G174" s="44" t="n"/>
      <x:c r="H174" s="44" t="n"/>
      <x:c r="I174" s="44" t="n"/>
      <x:c r="J174" s="44" t="n"/>
      <x:c r="K174" s="44" t="n"/>
      <x:c r="L174" s="45" t="n"/>
      <x:c r="M174" s="46" t="n"/>
      <x:c r="N174" s="62">
        <x:f>IF(OR(F174="",H174="",O174="Нет"),"",IF(H174="Вратарь",IF(L174="Да",Scoring!$C$7,IF(K174=1,Scoring!$C$8,IF(K174=2,Scoring!$C$9,Scoring!$C$10)))+IF(M174="",0,M174),N(IF(I174="",0,I174)*Scoring!$C$5)+N(IF(J174="",0,J174)*Scoring!$C$6)+IF(M174="",0,M174)))</x:f>
      </x:c>
      <x:c r="O174" s="62" t="inlineStr">
        <x:is>
          <x:t xml:space="preserve">Да</x:t>
        </x:is>
      </x:c>
      <x:c r="P174" s="62" t="n"/>
    </x:row>
    <x:row r="175">
      <x:c r="A175" s="42" t="n"/>
      <x:c r="B175" s="43" t="n"/>
      <x:c r="C175" s="43" t="n"/>
      <x:c r="D175" s="44" t="n"/>
      <x:c r="E175" s="44" t="n"/>
      <x:c r="F175" s="44" t="n"/>
      <x:c r="G175" s="44" t="n"/>
      <x:c r="H175" s="44" t="n"/>
      <x:c r="I175" s="44" t="n"/>
      <x:c r="J175" s="44" t="n"/>
      <x:c r="K175" s="44" t="n"/>
      <x:c r="L175" s="45" t="n"/>
      <x:c r="M175" s="46" t="n"/>
      <x:c r="N175" s="62">
        <x:f>IF(OR(F175="",H175="",O175="Нет"),"",IF(H175="Вратарь",IF(L175="Да",Scoring!$C$7,IF(K175=1,Scoring!$C$8,IF(K175=2,Scoring!$C$9,Scoring!$C$10)))+IF(M175="",0,M175),N(IF(I175="",0,I175)*Scoring!$C$5)+N(IF(J175="",0,J175)*Scoring!$C$6)+IF(M175="",0,M175)))</x:f>
      </x:c>
      <x:c r="O175" s="62" t="inlineStr">
        <x:is>
          <x:t xml:space="preserve">Да</x:t>
        </x:is>
      </x:c>
      <x:c r="P175" s="62" t="n"/>
    </x:row>
    <x:row r="176">
      <x:c r="A176" s="42" t="n"/>
      <x:c r="B176" s="43" t="n"/>
      <x:c r="C176" s="43" t="n"/>
      <x:c r="D176" s="44" t="n"/>
      <x:c r="E176" s="44" t="n"/>
      <x:c r="F176" s="44" t="n"/>
      <x:c r="G176" s="44" t="n"/>
      <x:c r="H176" s="44" t="n"/>
      <x:c r="I176" s="44" t="n"/>
      <x:c r="J176" s="44" t="n"/>
      <x:c r="K176" s="44" t="n"/>
      <x:c r="L176" s="45" t="n"/>
      <x:c r="M176" s="46" t="n"/>
      <x:c r="N176" s="62">
        <x:f>IF(OR(F176="",H176="",O176="Нет"),"",IF(H176="Вратарь",IF(L176="Да",Scoring!$C$7,IF(K176=1,Scoring!$C$8,IF(K176=2,Scoring!$C$9,Scoring!$C$10)))+IF(M176="",0,M176),N(IF(I176="",0,I176)*Scoring!$C$5)+N(IF(J176="",0,J176)*Scoring!$C$6)+IF(M176="",0,M176)))</x:f>
      </x:c>
      <x:c r="O176" s="62" t="inlineStr">
        <x:is>
          <x:t xml:space="preserve">Да</x:t>
        </x:is>
      </x:c>
      <x:c r="P176" s="62" t="n"/>
    </x:row>
    <x:row r="177">
      <x:c r="A177" s="42" t="n"/>
      <x:c r="B177" s="43" t="n"/>
      <x:c r="C177" s="43" t="n"/>
      <x:c r="D177" s="44" t="n"/>
      <x:c r="E177" s="44" t="n"/>
      <x:c r="F177" s="44" t="n"/>
      <x:c r="G177" s="44" t="n"/>
      <x:c r="H177" s="44" t="n"/>
      <x:c r="I177" s="44" t="n"/>
      <x:c r="J177" s="44" t="n"/>
      <x:c r="K177" s="44" t="n"/>
      <x:c r="L177" s="45" t="n"/>
      <x:c r="M177" s="46" t="n"/>
      <x:c r="N177" s="62">
        <x:f>IF(OR(F177="",H177="",O177="Нет"),"",IF(H177="Вратарь",IF(L177="Да",Scoring!$C$7,IF(K177=1,Scoring!$C$8,IF(K177=2,Scoring!$C$9,Scoring!$C$10)))+IF(M177="",0,M177),N(IF(I177="",0,I177)*Scoring!$C$5)+N(IF(J177="",0,J177)*Scoring!$C$6)+IF(M177="",0,M177)))</x:f>
      </x:c>
      <x:c r="O177" s="62" t="inlineStr">
        <x:is>
          <x:t xml:space="preserve">Да</x:t>
        </x:is>
      </x:c>
      <x:c r="P177" s="62" t="n"/>
    </x:row>
    <x:row r="178">
      <x:c r="A178" s="42" t="n"/>
      <x:c r="B178" s="43" t="n"/>
      <x:c r="C178" s="43" t="n"/>
      <x:c r="D178" s="44" t="n"/>
      <x:c r="E178" s="44" t="n"/>
      <x:c r="F178" s="44" t="n"/>
      <x:c r="G178" s="44" t="n"/>
      <x:c r="H178" s="44" t="n"/>
      <x:c r="I178" s="44" t="n"/>
      <x:c r="J178" s="44" t="n"/>
      <x:c r="K178" s="44" t="n"/>
      <x:c r="L178" s="45" t="n"/>
      <x:c r="M178" s="46" t="n"/>
      <x:c r="N178" s="62">
        <x:f>IF(OR(F178="",H178="",O178="Нет"),"",IF(H178="Вратарь",IF(L178="Да",Scoring!$C$7,IF(K178=1,Scoring!$C$8,IF(K178=2,Scoring!$C$9,Scoring!$C$10)))+IF(M178="",0,M178),N(IF(I178="",0,I178)*Scoring!$C$5)+N(IF(J178="",0,J178)*Scoring!$C$6)+IF(M178="",0,M178)))</x:f>
      </x:c>
      <x:c r="O178" s="62" t="inlineStr">
        <x:is>
          <x:t xml:space="preserve">Да</x:t>
        </x:is>
      </x:c>
      <x:c r="P178" s="62" t="n"/>
    </x:row>
    <x:row r="179">
      <x:c r="A179" s="42" t="n"/>
      <x:c r="B179" s="43" t="n"/>
      <x:c r="C179" s="43" t="n"/>
      <x:c r="D179" s="44" t="n"/>
      <x:c r="E179" s="44" t="n"/>
      <x:c r="F179" s="44" t="n"/>
      <x:c r="G179" s="44" t="n"/>
      <x:c r="H179" s="44" t="n"/>
      <x:c r="I179" s="44" t="n"/>
      <x:c r="J179" s="44" t="n"/>
      <x:c r="K179" s="44" t="n"/>
      <x:c r="L179" s="45" t="n"/>
      <x:c r="M179" s="46" t="n"/>
      <x:c r="N179" s="62">
        <x:f>IF(OR(F179="",H179="",O179="Нет"),"",IF(H179="Вратарь",IF(L179="Да",Scoring!$C$7,IF(K179=1,Scoring!$C$8,IF(K179=2,Scoring!$C$9,Scoring!$C$10)))+IF(M179="",0,M179),N(IF(I179="",0,I179)*Scoring!$C$5)+N(IF(J179="",0,J179)*Scoring!$C$6)+IF(M179="",0,M179)))</x:f>
      </x:c>
      <x:c r="O179" s="62" t="inlineStr">
        <x:is>
          <x:t xml:space="preserve">Да</x:t>
        </x:is>
      </x:c>
      <x:c r="P179" s="62" t="n"/>
    </x:row>
    <x:row r="180">
      <x:c r="A180" s="42" t="n"/>
      <x:c r="B180" s="43" t="n"/>
      <x:c r="C180" s="43" t="n"/>
      <x:c r="D180" s="44" t="n"/>
      <x:c r="E180" s="44" t="n"/>
      <x:c r="F180" s="44" t="n"/>
      <x:c r="G180" s="44" t="n"/>
      <x:c r="H180" s="44" t="n"/>
      <x:c r="I180" s="44" t="n"/>
      <x:c r="J180" s="44" t="n"/>
      <x:c r="K180" s="44" t="n"/>
      <x:c r="L180" s="45" t="n"/>
      <x:c r="M180" s="46" t="n"/>
      <x:c r="N180" s="62">
        <x:f>IF(OR(F180="",H180="",O180="Нет"),"",IF(H180="Вратарь",IF(L180="Да",Scoring!$C$7,IF(K180=1,Scoring!$C$8,IF(K180=2,Scoring!$C$9,Scoring!$C$10)))+IF(M180="",0,M180),N(IF(I180="",0,I180)*Scoring!$C$5)+N(IF(J180="",0,J180)*Scoring!$C$6)+IF(M180="",0,M180)))</x:f>
      </x:c>
      <x:c r="O180" s="62" t="inlineStr">
        <x:is>
          <x:t xml:space="preserve">Да</x:t>
        </x:is>
      </x:c>
      <x:c r="P180" s="62" t="n"/>
    </x:row>
    <x:row r="181">
      <x:c r="A181" s="42" t="n"/>
      <x:c r="B181" s="43" t="n"/>
      <x:c r="C181" s="43" t="n"/>
      <x:c r="D181" s="44" t="n"/>
      <x:c r="E181" s="44" t="n"/>
      <x:c r="F181" s="44" t="n"/>
      <x:c r="G181" s="44" t="n"/>
      <x:c r="H181" s="44" t="n"/>
      <x:c r="I181" s="44" t="n"/>
      <x:c r="J181" s="44" t="n"/>
      <x:c r="K181" s="44" t="n"/>
      <x:c r="L181" s="45" t="n"/>
      <x:c r="M181" s="46" t="n"/>
      <x:c r="N181" s="62">
        <x:f>IF(OR(F181="",H181="",O181="Нет"),"",IF(H181="Вратарь",IF(L181="Да",Scoring!$C$7,IF(K181=1,Scoring!$C$8,IF(K181=2,Scoring!$C$9,Scoring!$C$10)))+IF(M181="",0,M181),N(IF(I181="",0,I181)*Scoring!$C$5)+N(IF(J181="",0,J181)*Scoring!$C$6)+IF(M181="",0,M181)))</x:f>
      </x:c>
      <x:c r="O181" s="62" t="inlineStr">
        <x:is>
          <x:t xml:space="preserve">Да</x:t>
        </x:is>
      </x:c>
      <x:c r="P181" s="62" t="n"/>
    </x:row>
    <x:row r="182">
      <x:c r="A182" s="42" t="n"/>
      <x:c r="B182" s="43" t="n"/>
      <x:c r="C182" s="43" t="n"/>
      <x:c r="D182" s="44" t="n"/>
      <x:c r="E182" s="44" t="n"/>
      <x:c r="F182" s="44" t="n"/>
      <x:c r="G182" s="44" t="n"/>
      <x:c r="H182" s="44" t="n"/>
      <x:c r="I182" s="44" t="n"/>
      <x:c r="J182" s="44" t="n"/>
      <x:c r="K182" s="44" t="n"/>
      <x:c r="L182" s="45" t="n"/>
      <x:c r="M182" s="46" t="n"/>
      <x:c r="N182" s="62">
        <x:f>IF(OR(F182="",H182="",O182="Нет"),"",IF(H182="Вратарь",IF(L182="Да",Scoring!$C$7,IF(K182=1,Scoring!$C$8,IF(K182=2,Scoring!$C$9,Scoring!$C$10)))+IF(M182="",0,M182),N(IF(I182="",0,I182)*Scoring!$C$5)+N(IF(J182="",0,J182)*Scoring!$C$6)+IF(M182="",0,M182)))</x:f>
      </x:c>
      <x:c r="O182" s="62" t="inlineStr">
        <x:is>
          <x:t xml:space="preserve">Да</x:t>
        </x:is>
      </x:c>
      <x:c r="P182" s="62" t="n"/>
    </x:row>
    <x:row r="183">
      <x:c r="A183" s="42" t="n"/>
      <x:c r="B183" s="43" t="n"/>
      <x:c r="C183" s="43" t="n"/>
      <x:c r="D183" s="44" t="n"/>
      <x:c r="E183" s="44" t="n"/>
      <x:c r="F183" s="44" t="n"/>
      <x:c r="G183" s="44" t="n"/>
      <x:c r="H183" s="44" t="n"/>
      <x:c r="I183" s="44" t="n"/>
      <x:c r="J183" s="44" t="n"/>
      <x:c r="K183" s="44" t="n"/>
      <x:c r="L183" s="45" t="n"/>
      <x:c r="M183" s="46" t="n"/>
      <x:c r="N183" s="62">
        <x:f>IF(OR(F183="",H183="",O183="Нет"),"",IF(H183="Вратарь",IF(L183="Да",Scoring!$C$7,IF(K183=1,Scoring!$C$8,IF(K183=2,Scoring!$C$9,Scoring!$C$10)))+IF(M183="",0,M183),N(IF(I183="",0,I183)*Scoring!$C$5)+N(IF(J183="",0,J183)*Scoring!$C$6)+IF(M183="",0,M183)))</x:f>
      </x:c>
      <x:c r="O183" s="62" t="inlineStr">
        <x:is>
          <x:t xml:space="preserve">Да</x:t>
        </x:is>
      </x:c>
      <x:c r="P183" s="62" t="n"/>
    </x:row>
    <x:row r="184">
      <x:c r="A184" s="42" t="n"/>
      <x:c r="B184" s="43" t="n"/>
      <x:c r="C184" s="43" t="n"/>
      <x:c r="D184" s="44" t="n"/>
      <x:c r="E184" s="44" t="n"/>
      <x:c r="F184" s="44" t="n"/>
      <x:c r="G184" s="44" t="n"/>
      <x:c r="H184" s="44" t="n"/>
      <x:c r="I184" s="44" t="n"/>
      <x:c r="J184" s="44" t="n"/>
      <x:c r="K184" s="44" t="n"/>
      <x:c r="L184" s="45" t="n"/>
      <x:c r="M184" s="46" t="n"/>
      <x:c r="N184" s="62">
        <x:f>IF(OR(F184="",H184="",O184="Нет"),"",IF(H184="Вратарь",IF(L184="Да",Scoring!$C$7,IF(K184=1,Scoring!$C$8,IF(K184=2,Scoring!$C$9,Scoring!$C$10)))+IF(M184="",0,M184),N(IF(I184="",0,I184)*Scoring!$C$5)+N(IF(J184="",0,J184)*Scoring!$C$6)+IF(M184="",0,M184)))</x:f>
      </x:c>
      <x:c r="O184" s="62" t="inlineStr">
        <x:is>
          <x:t xml:space="preserve">Да</x:t>
        </x:is>
      </x:c>
      <x:c r="P184" s="62" t="n"/>
    </x:row>
    <x:row r="185">
      <x:c r="A185" s="42" t="n"/>
      <x:c r="B185" s="43" t="n"/>
      <x:c r="C185" s="43" t="n"/>
      <x:c r="D185" s="44" t="n"/>
      <x:c r="E185" s="44" t="n"/>
      <x:c r="F185" s="44" t="n"/>
      <x:c r="G185" s="44" t="n"/>
      <x:c r="H185" s="44" t="n"/>
      <x:c r="I185" s="44" t="n"/>
      <x:c r="J185" s="44" t="n"/>
      <x:c r="K185" s="44" t="n"/>
      <x:c r="L185" s="45" t="n"/>
      <x:c r="M185" s="46" t="n"/>
      <x:c r="N185" s="62">
        <x:f>IF(OR(F185="",H185="",O185="Нет"),"",IF(H185="Вратарь",IF(L185="Да",Scoring!$C$7,IF(K185=1,Scoring!$C$8,IF(K185=2,Scoring!$C$9,Scoring!$C$10)))+IF(M185="",0,M185),N(IF(I185="",0,I185)*Scoring!$C$5)+N(IF(J185="",0,J185)*Scoring!$C$6)+IF(M185="",0,M185)))</x:f>
      </x:c>
      <x:c r="O185" s="62" t="inlineStr">
        <x:is>
          <x:t xml:space="preserve">Да</x:t>
        </x:is>
      </x:c>
      <x:c r="P185" s="62" t="n"/>
    </x:row>
    <x:row r="186">
      <x:c r="A186" s="42" t="n"/>
      <x:c r="B186" s="43" t="n"/>
      <x:c r="C186" s="43" t="n"/>
      <x:c r="D186" s="44" t="n"/>
      <x:c r="E186" s="44" t="n"/>
      <x:c r="F186" s="44" t="n"/>
      <x:c r="G186" s="44" t="n"/>
      <x:c r="H186" s="44" t="n"/>
      <x:c r="I186" s="44" t="n"/>
      <x:c r="J186" s="44" t="n"/>
      <x:c r="K186" s="44" t="n"/>
      <x:c r="L186" s="45" t="n"/>
      <x:c r="M186" s="46" t="n"/>
      <x:c r="N186" s="62">
        <x:f>IF(OR(F186="",H186="",O186="Нет"),"",IF(H186="Вратарь",IF(L186="Да",Scoring!$C$7,IF(K186=1,Scoring!$C$8,IF(K186=2,Scoring!$C$9,Scoring!$C$10)))+IF(M186="",0,M186),N(IF(I186="",0,I186)*Scoring!$C$5)+N(IF(J186="",0,J186)*Scoring!$C$6)+IF(M186="",0,M186)))</x:f>
      </x:c>
      <x:c r="O186" s="62" t="inlineStr">
        <x:is>
          <x:t xml:space="preserve">Да</x:t>
        </x:is>
      </x:c>
      <x:c r="P186" s="62" t="n"/>
    </x:row>
    <x:row r="187">
      <x:c r="A187" s="42" t="n"/>
      <x:c r="B187" s="43" t="n"/>
      <x:c r="C187" s="43" t="n"/>
      <x:c r="D187" s="44" t="n"/>
      <x:c r="E187" s="44" t="n"/>
      <x:c r="F187" s="44" t="n"/>
      <x:c r="G187" s="44" t="n"/>
      <x:c r="H187" s="44" t="n"/>
      <x:c r="I187" s="44" t="n"/>
      <x:c r="J187" s="44" t="n"/>
      <x:c r="K187" s="44" t="n"/>
      <x:c r="L187" s="45" t="n"/>
      <x:c r="M187" s="46" t="n"/>
      <x:c r="N187" s="62">
        <x:f>IF(OR(F187="",H187="",O187="Нет"),"",IF(H187="Вратарь",IF(L187="Да",Scoring!$C$7,IF(K187=1,Scoring!$C$8,IF(K187=2,Scoring!$C$9,Scoring!$C$10)))+IF(M187="",0,M187),N(IF(I187="",0,I187)*Scoring!$C$5)+N(IF(J187="",0,J187)*Scoring!$C$6)+IF(M187="",0,M187)))</x:f>
      </x:c>
      <x:c r="O187" s="62" t="inlineStr">
        <x:is>
          <x:t xml:space="preserve">Да</x:t>
        </x:is>
      </x:c>
      <x:c r="P187" s="62" t="n"/>
    </x:row>
    <x:row r="188">
      <x:c r="A188" s="42" t="n"/>
      <x:c r="B188" s="43" t="n"/>
      <x:c r="C188" s="43" t="n"/>
      <x:c r="D188" s="44" t="n"/>
      <x:c r="E188" s="44" t="n"/>
      <x:c r="F188" s="44" t="n"/>
      <x:c r="G188" s="44" t="n"/>
      <x:c r="H188" s="44" t="n"/>
      <x:c r="I188" s="44" t="n"/>
      <x:c r="J188" s="44" t="n"/>
      <x:c r="K188" s="44" t="n"/>
      <x:c r="L188" s="45" t="n"/>
      <x:c r="M188" s="46" t="n"/>
      <x:c r="N188" s="62">
        <x:f>IF(OR(F188="",H188="",O188="Нет"),"",IF(H188="Вратарь",IF(L188="Да",Scoring!$C$7,IF(K188=1,Scoring!$C$8,IF(K188=2,Scoring!$C$9,Scoring!$C$10)))+IF(M188="",0,M188),N(IF(I188="",0,I188)*Scoring!$C$5)+N(IF(J188="",0,J188)*Scoring!$C$6)+IF(M188="",0,M188)))</x:f>
      </x:c>
      <x:c r="O188" s="62" t="inlineStr">
        <x:is>
          <x:t xml:space="preserve">Да</x:t>
        </x:is>
      </x:c>
      <x:c r="P188" s="62" t="n"/>
    </x:row>
    <x:row r="189">
      <x:c r="A189" s="42" t="n"/>
      <x:c r="B189" s="43" t="n"/>
      <x:c r="C189" s="43" t="n"/>
      <x:c r="D189" s="44" t="n"/>
      <x:c r="E189" s="44" t="n"/>
      <x:c r="F189" s="44" t="n"/>
      <x:c r="G189" s="44" t="n"/>
      <x:c r="H189" s="44" t="n"/>
      <x:c r="I189" s="44" t="n"/>
      <x:c r="J189" s="44" t="n"/>
      <x:c r="K189" s="44" t="n"/>
      <x:c r="L189" s="45" t="n"/>
      <x:c r="M189" s="46" t="n"/>
      <x:c r="N189" s="62">
        <x:f>IF(OR(F189="",H189="",O189="Нет"),"",IF(H189="Вратарь",IF(L189="Да",Scoring!$C$7,IF(K189=1,Scoring!$C$8,IF(K189=2,Scoring!$C$9,Scoring!$C$10)))+IF(M189="",0,M189),N(IF(I189="",0,I189)*Scoring!$C$5)+N(IF(J189="",0,J189)*Scoring!$C$6)+IF(M189="",0,M189)))</x:f>
      </x:c>
      <x:c r="O189" s="62" t="inlineStr">
        <x:is>
          <x:t xml:space="preserve">Да</x:t>
        </x:is>
      </x:c>
      <x:c r="P189" s="62" t="n"/>
    </x:row>
    <x:row r="190">
      <x:c r="A190" s="42" t="n"/>
      <x:c r="B190" s="43" t="n"/>
      <x:c r="C190" s="43" t="n"/>
      <x:c r="D190" s="44" t="n"/>
      <x:c r="E190" s="44" t="n"/>
      <x:c r="F190" s="44" t="n"/>
      <x:c r="G190" s="44" t="n"/>
      <x:c r="H190" s="44" t="n"/>
      <x:c r="I190" s="44" t="n"/>
      <x:c r="J190" s="44" t="n"/>
      <x:c r="K190" s="44" t="n"/>
      <x:c r="L190" s="45" t="n"/>
      <x:c r="M190" s="46" t="n"/>
      <x:c r="N190" s="62">
        <x:f>IF(OR(F190="",H190="",O190="Нет"),"",IF(H190="Вратарь",IF(L190="Да",Scoring!$C$7,IF(K190=1,Scoring!$C$8,IF(K190=2,Scoring!$C$9,Scoring!$C$10)))+IF(M190="",0,M190),N(IF(I190="",0,I190)*Scoring!$C$5)+N(IF(J190="",0,J190)*Scoring!$C$6)+IF(M190="",0,M190)))</x:f>
      </x:c>
      <x:c r="O190" s="62" t="inlineStr">
        <x:is>
          <x:t xml:space="preserve">Да</x:t>
        </x:is>
      </x:c>
      <x:c r="P190" s="62" t="n"/>
    </x:row>
    <x:row r="191">
      <x:c r="A191" s="42" t="n"/>
      <x:c r="B191" s="43" t="n"/>
      <x:c r="C191" s="43" t="n"/>
      <x:c r="D191" s="44" t="n"/>
      <x:c r="E191" s="44" t="n"/>
      <x:c r="F191" s="44" t="n"/>
      <x:c r="G191" s="44" t="n"/>
      <x:c r="H191" s="44" t="n"/>
      <x:c r="I191" s="44" t="n"/>
      <x:c r="J191" s="44" t="n"/>
      <x:c r="K191" s="44" t="n"/>
      <x:c r="L191" s="45" t="n"/>
      <x:c r="M191" s="46" t="n"/>
      <x:c r="N191" s="62">
        <x:f>IF(OR(F191="",H191="",O191="Нет"),"",IF(H191="Вратарь",IF(L191="Да",Scoring!$C$7,IF(K191=1,Scoring!$C$8,IF(K191=2,Scoring!$C$9,Scoring!$C$10)))+IF(M191="",0,M191),N(IF(I191="",0,I191)*Scoring!$C$5)+N(IF(J191="",0,J191)*Scoring!$C$6)+IF(M191="",0,M191)))</x:f>
      </x:c>
      <x:c r="O191" s="62" t="inlineStr">
        <x:is>
          <x:t xml:space="preserve">Да</x:t>
        </x:is>
      </x:c>
      <x:c r="P191" s="62" t="n"/>
    </x:row>
    <x:row r="192">
      <x:c r="A192" s="42" t="n"/>
      <x:c r="B192" s="43" t="n"/>
      <x:c r="C192" s="43" t="n"/>
      <x:c r="D192" s="44" t="n"/>
      <x:c r="E192" s="44" t="n"/>
      <x:c r="F192" s="44" t="n"/>
      <x:c r="G192" s="44" t="n"/>
      <x:c r="H192" s="44" t="n"/>
      <x:c r="I192" s="44" t="n"/>
      <x:c r="J192" s="44" t="n"/>
      <x:c r="K192" s="44" t="n"/>
      <x:c r="L192" s="45" t="n"/>
      <x:c r="M192" s="46" t="n"/>
      <x:c r="N192" s="62">
        <x:f>IF(OR(F192="",H192="",O192="Нет"),"",IF(H192="Вратарь",IF(L192="Да",Scoring!$C$7,IF(K192=1,Scoring!$C$8,IF(K192=2,Scoring!$C$9,Scoring!$C$10)))+IF(M192="",0,M192),N(IF(I192="",0,I192)*Scoring!$C$5)+N(IF(J192="",0,J192)*Scoring!$C$6)+IF(M192="",0,M192)))</x:f>
      </x:c>
      <x:c r="O192" s="62" t="inlineStr">
        <x:is>
          <x:t xml:space="preserve">Да</x:t>
        </x:is>
      </x:c>
      <x:c r="P192" s="62" t="n"/>
    </x:row>
    <x:row r="193">
      <x:c r="A193" s="42" t="n"/>
      <x:c r="B193" s="43" t="n"/>
      <x:c r="C193" s="43" t="n"/>
      <x:c r="D193" s="44" t="n"/>
      <x:c r="E193" s="44" t="n"/>
      <x:c r="F193" s="44" t="n"/>
      <x:c r="G193" s="44" t="n"/>
      <x:c r="H193" s="44" t="n"/>
      <x:c r="I193" s="44" t="n"/>
      <x:c r="J193" s="44" t="n"/>
      <x:c r="K193" s="44" t="n"/>
      <x:c r="L193" s="45" t="n"/>
      <x:c r="M193" s="46" t="n"/>
      <x:c r="N193" s="62">
        <x:f>IF(OR(F193="",H193="",O193="Нет"),"",IF(H193="Вратарь",IF(L193="Да",Scoring!$C$7,IF(K193=1,Scoring!$C$8,IF(K193=2,Scoring!$C$9,Scoring!$C$10)))+IF(M193="",0,M193),N(IF(I193="",0,I193)*Scoring!$C$5)+N(IF(J193="",0,J193)*Scoring!$C$6)+IF(M193="",0,M193)))</x:f>
      </x:c>
      <x:c r="O193" s="62" t="inlineStr">
        <x:is>
          <x:t xml:space="preserve">Да</x:t>
        </x:is>
      </x:c>
      <x:c r="P193" s="62" t="n"/>
    </x:row>
    <x:row r="194">
      <x:c r="A194" s="42" t="n"/>
      <x:c r="B194" s="43" t="n"/>
      <x:c r="C194" s="43" t="n"/>
      <x:c r="D194" s="44" t="n"/>
      <x:c r="E194" s="44" t="n"/>
      <x:c r="F194" s="44" t="n"/>
      <x:c r="G194" s="44" t="n"/>
      <x:c r="H194" s="44" t="n"/>
      <x:c r="I194" s="44" t="n"/>
      <x:c r="J194" s="44" t="n"/>
      <x:c r="K194" s="44" t="n"/>
      <x:c r="L194" s="45" t="n"/>
      <x:c r="M194" s="46" t="n"/>
      <x:c r="N194" s="62">
        <x:f>IF(OR(F194="",H194="",O194="Нет"),"",IF(H194="Вратарь",IF(L194="Да",Scoring!$C$7,IF(K194=1,Scoring!$C$8,IF(K194=2,Scoring!$C$9,Scoring!$C$10)))+IF(M194="",0,M194),N(IF(I194="",0,I194)*Scoring!$C$5)+N(IF(J194="",0,J194)*Scoring!$C$6)+IF(M194="",0,M194)))</x:f>
      </x:c>
      <x:c r="O194" s="62" t="inlineStr">
        <x:is>
          <x:t xml:space="preserve">Да</x:t>
        </x:is>
      </x:c>
      <x:c r="P194" s="62" t="n"/>
    </x:row>
    <x:row r="195">
      <x:c r="A195" s="42" t="n"/>
      <x:c r="B195" s="43" t="n"/>
      <x:c r="C195" s="43" t="n"/>
      <x:c r="D195" s="44" t="n"/>
      <x:c r="E195" s="44" t="n"/>
      <x:c r="F195" s="44" t="n"/>
      <x:c r="G195" s="44" t="n"/>
      <x:c r="H195" s="44" t="n"/>
      <x:c r="I195" s="44" t="n"/>
      <x:c r="J195" s="44" t="n"/>
      <x:c r="K195" s="44" t="n"/>
      <x:c r="L195" s="45" t="n"/>
      <x:c r="M195" s="46" t="n"/>
      <x:c r="N195" s="62">
        <x:f>IF(OR(F195="",H195="",O195="Нет"),"",IF(H195="Вратарь",IF(L195="Да",Scoring!$C$7,IF(K195=1,Scoring!$C$8,IF(K195=2,Scoring!$C$9,Scoring!$C$10)))+IF(M195="",0,M195),N(IF(I195="",0,I195)*Scoring!$C$5)+N(IF(J195="",0,J195)*Scoring!$C$6)+IF(M195="",0,M195)))</x:f>
      </x:c>
      <x:c r="O195" s="62" t="inlineStr">
        <x:is>
          <x:t xml:space="preserve">Да</x:t>
        </x:is>
      </x:c>
      <x:c r="P195" s="62" t="n"/>
    </x:row>
    <x:row r="196">
      <x:c r="A196" s="42" t="n"/>
      <x:c r="B196" s="43" t="n"/>
      <x:c r="C196" s="43" t="n"/>
      <x:c r="D196" s="44" t="n"/>
      <x:c r="E196" s="44" t="n"/>
      <x:c r="F196" s="44" t="n"/>
      <x:c r="G196" s="44" t="n"/>
      <x:c r="H196" s="44" t="n"/>
      <x:c r="I196" s="44" t="n"/>
      <x:c r="J196" s="44" t="n"/>
      <x:c r="K196" s="44" t="n"/>
      <x:c r="L196" s="45" t="n"/>
      <x:c r="M196" s="46" t="n"/>
      <x:c r="N196" s="62">
        <x:f>IF(OR(F196="",H196="",O196="Нет"),"",IF(H196="Вратарь",IF(L196="Да",Scoring!$C$7,IF(K196=1,Scoring!$C$8,IF(K196=2,Scoring!$C$9,Scoring!$C$10)))+IF(M196="",0,M196),N(IF(I196="",0,I196)*Scoring!$C$5)+N(IF(J196="",0,J196)*Scoring!$C$6)+IF(M196="",0,M196)))</x:f>
      </x:c>
      <x:c r="O196" s="62" t="inlineStr">
        <x:is>
          <x:t xml:space="preserve">Да</x:t>
        </x:is>
      </x:c>
      <x:c r="P196" s="62" t="n"/>
    </x:row>
    <x:row r="197">
      <x:c r="A197" s="42" t="n"/>
      <x:c r="B197" s="43" t="n"/>
      <x:c r="C197" s="43" t="n"/>
      <x:c r="D197" s="44" t="n"/>
      <x:c r="E197" s="44" t="n"/>
      <x:c r="F197" s="44" t="n"/>
      <x:c r="G197" s="44" t="n"/>
      <x:c r="H197" s="44" t="n"/>
      <x:c r="I197" s="44" t="n"/>
      <x:c r="J197" s="44" t="n"/>
      <x:c r="K197" s="44" t="n"/>
      <x:c r="L197" s="45" t="n"/>
      <x:c r="M197" s="46" t="n"/>
      <x:c r="N197" s="62">
        <x:f>IF(OR(F197="",H197="",O197="Нет"),"",IF(H197="Вратарь",IF(L197="Да",Scoring!$C$7,IF(K197=1,Scoring!$C$8,IF(K197=2,Scoring!$C$9,Scoring!$C$10)))+IF(M197="",0,M197),N(IF(I197="",0,I197)*Scoring!$C$5)+N(IF(J197="",0,J197)*Scoring!$C$6)+IF(M197="",0,M197)))</x:f>
      </x:c>
      <x:c r="O197" s="62" t="inlineStr">
        <x:is>
          <x:t xml:space="preserve">Да</x:t>
        </x:is>
      </x:c>
      <x:c r="P197" s="62" t="n"/>
    </x:row>
    <x:row r="198">
      <x:c r="A198" s="42" t="n"/>
      <x:c r="B198" s="43" t="n"/>
      <x:c r="C198" s="43" t="n"/>
      <x:c r="D198" s="44" t="n"/>
      <x:c r="E198" s="44" t="n"/>
      <x:c r="F198" s="44" t="n"/>
      <x:c r="G198" s="44" t="n"/>
      <x:c r="H198" s="44" t="n"/>
      <x:c r="I198" s="44" t="n"/>
      <x:c r="J198" s="44" t="n"/>
      <x:c r="K198" s="44" t="n"/>
      <x:c r="L198" s="45" t="n"/>
      <x:c r="M198" s="46" t="n"/>
      <x:c r="N198" s="62">
        <x:f>IF(OR(F198="",H198="",O198="Нет"),"",IF(H198="Вратарь",IF(L198="Да",Scoring!$C$7,IF(K198=1,Scoring!$C$8,IF(K198=2,Scoring!$C$9,Scoring!$C$10)))+IF(M198="",0,M198),N(IF(I198="",0,I198)*Scoring!$C$5)+N(IF(J198="",0,J198)*Scoring!$C$6)+IF(M198="",0,M198)))</x:f>
      </x:c>
      <x:c r="O198" s="62" t="inlineStr">
        <x:is>
          <x:t xml:space="preserve">Да</x:t>
        </x:is>
      </x:c>
      <x:c r="P198" s="62" t="n"/>
    </x:row>
    <x:row r="199">
      <x:c r="A199" s="42" t="n"/>
      <x:c r="B199" s="43" t="n"/>
      <x:c r="C199" s="43" t="n"/>
      <x:c r="D199" s="44" t="n"/>
      <x:c r="E199" s="44" t="n"/>
      <x:c r="F199" s="44" t="n"/>
      <x:c r="G199" s="44" t="n"/>
      <x:c r="H199" s="44" t="n"/>
      <x:c r="I199" s="44" t="n"/>
      <x:c r="J199" s="44" t="n"/>
      <x:c r="K199" s="44" t="n"/>
      <x:c r="L199" s="45" t="n"/>
      <x:c r="M199" s="46" t="n"/>
      <x:c r="N199" s="62">
        <x:f>IF(OR(F199="",H199="",O199="Нет"),"",IF(H199="Вратарь",IF(L199="Да",Scoring!$C$7,IF(K199=1,Scoring!$C$8,IF(K199=2,Scoring!$C$9,Scoring!$C$10)))+IF(M199="",0,M199),N(IF(I199="",0,I199)*Scoring!$C$5)+N(IF(J199="",0,J199)*Scoring!$C$6)+IF(M199="",0,M199)))</x:f>
      </x:c>
      <x:c r="O199" s="62" t="inlineStr">
        <x:is>
          <x:t xml:space="preserve">Да</x:t>
        </x:is>
      </x:c>
      <x:c r="P199" s="62" t="n"/>
    </x:row>
    <x:row r="200">
      <x:c r="A200" s="42" t="n"/>
      <x:c r="B200" s="43" t="n"/>
      <x:c r="C200" s="43" t="n"/>
      <x:c r="D200" s="44" t="n"/>
      <x:c r="E200" s="44" t="n"/>
      <x:c r="F200" s="44" t="n"/>
      <x:c r="G200" s="44" t="n"/>
      <x:c r="H200" s="44" t="n"/>
      <x:c r="I200" s="44" t="n"/>
      <x:c r="J200" s="44" t="n"/>
      <x:c r="K200" s="44" t="n"/>
      <x:c r="L200" s="45" t="n"/>
      <x:c r="M200" s="46" t="n"/>
      <x:c r="N200" s="62">
        <x:f>IF(OR(F200="",H200="",O200="Нет"),"",IF(H200="Вратарь",IF(L200="Да",Scoring!$C$7,IF(K200=1,Scoring!$C$8,IF(K200=2,Scoring!$C$9,Scoring!$C$10)))+IF(M200="",0,M200),N(IF(I200="",0,I200)*Scoring!$C$5)+N(IF(J200="",0,J200)*Scoring!$C$6)+IF(M200="",0,M200)))</x:f>
      </x:c>
      <x:c r="O200" s="62" t="inlineStr">
        <x:is>
          <x:t xml:space="preserve">Да</x:t>
        </x:is>
      </x:c>
      <x:c r="P200" s="62" t="n"/>
    </x:row>
    <x:row r="201">
      <x:c r="A201" s="42" t="n"/>
      <x:c r="B201" s="43" t="n"/>
      <x:c r="C201" s="43" t="n"/>
      <x:c r="D201" s="44" t="n"/>
      <x:c r="E201" s="44" t="n"/>
      <x:c r="F201" s="44" t="n"/>
      <x:c r="G201" s="44" t="n"/>
      <x:c r="H201" s="44" t="n"/>
      <x:c r="I201" s="44" t="n"/>
      <x:c r="J201" s="44" t="n"/>
      <x:c r="K201" s="44" t="n"/>
      <x:c r="L201" s="45" t="n"/>
      <x:c r="M201" s="46" t="n"/>
      <x:c r="N201" s="62">
        <x:f>IF(OR(F201="",H201="",O201="Нет"),"",IF(H201="Вратарь",IF(L201="Да",Scoring!$C$7,IF(K201=1,Scoring!$C$8,IF(K201=2,Scoring!$C$9,Scoring!$C$10)))+IF(M201="",0,M201),N(IF(I201="",0,I201)*Scoring!$C$5)+N(IF(J201="",0,J201)*Scoring!$C$6)+IF(M201="",0,M201)))</x:f>
      </x:c>
      <x:c r="O201" s="62" t="inlineStr">
        <x:is>
          <x:t xml:space="preserve">Да</x:t>
        </x:is>
      </x:c>
      <x:c r="P201" s="62" t="n"/>
    </x:row>
    <x:row r="202">
      <x:c r="A202" s="42" t="n"/>
      <x:c r="B202" s="43" t="n"/>
      <x:c r="C202" s="43" t="n"/>
      <x:c r="D202" s="44" t="n"/>
      <x:c r="E202" s="44" t="n"/>
      <x:c r="F202" s="44" t="n"/>
      <x:c r="G202" s="44" t="n"/>
      <x:c r="H202" s="44" t="n"/>
      <x:c r="I202" s="44" t="n"/>
      <x:c r="J202" s="44" t="n"/>
      <x:c r="K202" s="44" t="n"/>
      <x:c r="L202" s="45" t="n"/>
      <x:c r="M202" s="46" t="n"/>
      <x:c r="N202" s="62">
        <x:f>IF(OR(F202="",H202="",O202="Нет"),"",IF(H202="Вратарь",IF(L202="Да",Scoring!$C$7,IF(K202=1,Scoring!$C$8,IF(K202=2,Scoring!$C$9,Scoring!$C$10)))+IF(M202="",0,M202),N(IF(I202="",0,I202)*Scoring!$C$5)+N(IF(J202="",0,J202)*Scoring!$C$6)+IF(M202="",0,M202)))</x:f>
      </x:c>
      <x:c r="O202" s="62" t="inlineStr">
        <x:is>
          <x:t xml:space="preserve">Да</x:t>
        </x:is>
      </x:c>
      <x:c r="P202" s="62" t="n"/>
    </x:row>
    <x:row r="203">
      <x:c r="A203" s="42" t="n"/>
      <x:c r="B203" s="43" t="n"/>
      <x:c r="C203" s="43" t="n"/>
      <x:c r="D203" s="44" t="n"/>
      <x:c r="E203" s="44" t="n"/>
      <x:c r="F203" s="44" t="n"/>
      <x:c r="G203" s="44" t="n"/>
      <x:c r="H203" s="44" t="n"/>
      <x:c r="I203" s="44" t="n"/>
      <x:c r="J203" s="44" t="n"/>
      <x:c r="K203" s="44" t="n"/>
      <x:c r="L203" s="45" t="n"/>
      <x:c r="M203" s="46" t="n"/>
      <x:c r="N203" s="62">
        <x:f>IF(OR(F203="",H203="",O203="Нет"),"",IF(H203="Вратарь",IF(L203="Да",Scoring!$C$7,IF(K203=1,Scoring!$C$8,IF(K203=2,Scoring!$C$9,Scoring!$C$10)))+IF(M203="",0,M203),N(IF(I203="",0,I203)*Scoring!$C$5)+N(IF(J203="",0,J203)*Scoring!$C$6)+IF(M203="",0,M203)))</x:f>
      </x:c>
      <x:c r="O203" s="62" t="inlineStr">
        <x:is>
          <x:t xml:space="preserve">Да</x:t>
        </x:is>
      </x:c>
      <x:c r="P203" s="62" t="n"/>
    </x:row>
    <x:row r="204">
      <x:c r="A204" s="42" t="n"/>
      <x:c r="B204" s="43" t="n"/>
      <x:c r="C204" s="43" t="n"/>
      <x:c r="D204" s="44" t="n"/>
      <x:c r="E204" s="44" t="n"/>
      <x:c r="F204" s="44" t="n"/>
      <x:c r="G204" s="44" t="n"/>
      <x:c r="H204" s="44" t="n"/>
      <x:c r="I204" s="44" t="n"/>
      <x:c r="J204" s="44" t="n"/>
      <x:c r="K204" s="44" t="n"/>
      <x:c r="L204" s="45" t="n"/>
      <x:c r="M204" s="46" t="n"/>
      <x:c r="N204" s="62">
        <x:f>IF(OR(F204="",H204="",O204="Нет"),"",IF(H204="Вратарь",IF(L204="Да",Scoring!$C$7,IF(K204=1,Scoring!$C$8,IF(K204=2,Scoring!$C$9,Scoring!$C$10)))+IF(M204="",0,M204),N(IF(I204="",0,I204)*Scoring!$C$5)+N(IF(J204="",0,J204)*Scoring!$C$6)+IF(M204="",0,M204)))</x:f>
      </x:c>
      <x:c r="O204" s="62" t="inlineStr">
        <x:is>
          <x:t xml:space="preserve">Да</x:t>
        </x:is>
      </x:c>
      <x:c r="P204" s="62" t="n"/>
    </x:row>
    <x:row r="205">
      <x:c r="A205" s="42" t="n"/>
      <x:c r="B205" s="43" t="n"/>
      <x:c r="C205" s="43" t="n"/>
      <x:c r="D205" s="44" t="n"/>
      <x:c r="E205" s="44" t="n"/>
      <x:c r="F205" s="44" t="n"/>
      <x:c r="G205" s="44" t="n"/>
      <x:c r="H205" s="44" t="n"/>
      <x:c r="I205" s="44" t="n"/>
      <x:c r="J205" s="44" t="n"/>
      <x:c r="K205" s="44" t="n"/>
      <x:c r="L205" s="45" t="n"/>
      <x:c r="M205" s="46" t="n"/>
      <x:c r="N205" s="62">
        <x:f>IF(OR(F205="",H205="",O205="Нет"),"",IF(H205="Вратарь",IF(L205="Да",Scoring!$C$7,IF(K205=1,Scoring!$C$8,IF(K205=2,Scoring!$C$9,Scoring!$C$10)))+IF(M205="",0,M205),N(IF(I205="",0,I205)*Scoring!$C$5)+N(IF(J205="",0,J205)*Scoring!$C$6)+IF(M205="",0,M205)))</x:f>
      </x:c>
      <x:c r="O205" s="62" t="inlineStr">
        <x:is>
          <x:t xml:space="preserve">Да</x:t>
        </x:is>
      </x:c>
      <x:c r="P205" s="62" t="n"/>
    </x:row>
    <x:row r="206">
      <x:c r="A206" s="42" t="n"/>
      <x:c r="B206" s="43" t="n"/>
      <x:c r="C206" s="43" t="n"/>
      <x:c r="D206" s="44" t="n"/>
      <x:c r="E206" s="44" t="n"/>
      <x:c r="F206" s="44" t="n"/>
      <x:c r="G206" s="44" t="n"/>
      <x:c r="H206" s="44" t="n"/>
      <x:c r="I206" s="44" t="n"/>
      <x:c r="J206" s="44" t="n"/>
      <x:c r="K206" s="44" t="n"/>
      <x:c r="L206" s="45" t="n"/>
      <x:c r="M206" s="46" t="n"/>
      <x:c r="N206" s="62">
        <x:f>IF(OR(F206="",H206="",O206="Нет"),"",IF(H206="Вратарь",IF(L206="Да",Scoring!$C$7,IF(K206=1,Scoring!$C$8,IF(K206=2,Scoring!$C$9,Scoring!$C$10)))+IF(M206="",0,M206),N(IF(I206="",0,I206)*Scoring!$C$5)+N(IF(J206="",0,J206)*Scoring!$C$6)+IF(M206="",0,M206)))</x:f>
      </x:c>
      <x:c r="O206" s="62" t="inlineStr">
        <x:is>
          <x:t xml:space="preserve">Да</x:t>
        </x:is>
      </x:c>
      <x:c r="P206" s="62" t="n"/>
    </x:row>
    <x:row r="207">
      <x:c r="A207" s="42" t="n"/>
      <x:c r="B207" s="43" t="n"/>
      <x:c r="C207" s="43" t="n"/>
      <x:c r="D207" s="44" t="n"/>
      <x:c r="E207" s="44" t="n"/>
      <x:c r="F207" s="44" t="n"/>
      <x:c r="G207" s="44" t="n"/>
      <x:c r="H207" s="44" t="n"/>
      <x:c r="I207" s="44" t="n"/>
      <x:c r="J207" s="44" t="n"/>
      <x:c r="K207" s="44" t="n"/>
      <x:c r="L207" s="45" t="n"/>
      <x:c r="M207" s="46" t="n"/>
      <x:c r="N207" s="62">
        <x:f>IF(OR(F207="",H207="",O207="Нет"),"",IF(H207="Вратарь",IF(L207="Да",Scoring!$C$7,IF(K207=1,Scoring!$C$8,IF(K207=2,Scoring!$C$9,Scoring!$C$10)))+IF(M207="",0,M207),N(IF(I207="",0,I207)*Scoring!$C$5)+N(IF(J207="",0,J207)*Scoring!$C$6)+IF(M207="",0,M207)))</x:f>
      </x:c>
      <x:c r="O207" s="62" t="inlineStr">
        <x:is>
          <x:t xml:space="preserve">Да</x:t>
        </x:is>
      </x:c>
      <x:c r="P207" s="62" t="n"/>
    </x:row>
    <x:row r="208">
      <x:c r="A208" s="42" t="n"/>
      <x:c r="B208" s="43" t="n"/>
      <x:c r="C208" s="43" t="n"/>
      <x:c r="D208" s="44" t="n"/>
      <x:c r="E208" s="44" t="n"/>
      <x:c r="F208" s="44" t="n"/>
      <x:c r="G208" s="44" t="n"/>
      <x:c r="H208" s="44" t="n"/>
      <x:c r="I208" s="44" t="n"/>
      <x:c r="J208" s="44" t="n"/>
      <x:c r="K208" s="44" t="n"/>
      <x:c r="L208" s="45" t="n"/>
      <x:c r="M208" s="46" t="n"/>
      <x:c r="N208" s="62">
        <x:f>IF(OR(F208="",H208="",O208="Нет"),"",IF(H208="Вратарь",IF(L208="Да",Scoring!$C$7,IF(K208=1,Scoring!$C$8,IF(K208=2,Scoring!$C$9,Scoring!$C$10)))+IF(M208="",0,M208),N(IF(I208="",0,I208)*Scoring!$C$5)+N(IF(J208="",0,J208)*Scoring!$C$6)+IF(M208="",0,M208)))</x:f>
      </x:c>
      <x:c r="O208" s="62" t="inlineStr">
        <x:is>
          <x:t xml:space="preserve">Да</x:t>
        </x:is>
      </x:c>
      <x:c r="P208" s="62" t="n"/>
    </x:row>
    <x:row r="209">
      <x:c r="A209" s="42" t="n"/>
      <x:c r="B209" s="43" t="n"/>
      <x:c r="C209" s="43" t="n"/>
      <x:c r="D209" s="44" t="n"/>
      <x:c r="E209" s="44" t="n"/>
      <x:c r="F209" s="44" t="n"/>
      <x:c r="G209" s="44" t="n"/>
      <x:c r="H209" s="44" t="n"/>
      <x:c r="I209" s="44" t="n"/>
      <x:c r="J209" s="44" t="n"/>
      <x:c r="K209" s="44" t="n"/>
      <x:c r="L209" s="45" t="n"/>
      <x:c r="M209" s="46" t="n"/>
      <x:c r="N209" s="62">
        <x:f>IF(OR(F209="",H209="",O209="Нет"),"",IF(H209="Вратарь",IF(L209="Да",Scoring!$C$7,IF(K209=1,Scoring!$C$8,IF(K209=2,Scoring!$C$9,Scoring!$C$10)))+IF(M209="",0,M209),N(IF(I209="",0,I209)*Scoring!$C$5)+N(IF(J209="",0,J209)*Scoring!$C$6)+IF(M209="",0,M209)))</x:f>
      </x:c>
      <x:c r="O209" s="62" t="inlineStr">
        <x:is>
          <x:t xml:space="preserve">Да</x:t>
        </x:is>
      </x:c>
      <x:c r="P209" s="62" t="n"/>
    </x:row>
    <x:row r="210">
      <x:c r="A210" s="42" t="n"/>
      <x:c r="B210" s="43" t="n"/>
      <x:c r="C210" s="43" t="n"/>
      <x:c r="D210" s="44" t="n"/>
      <x:c r="E210" s="44" t="n"/>
      <x:c r="F210" s="44" t="n"/>
      <x:c r="G210" s="44" t="n"/>
      <x:c r="H210" s="44" t="n"/>
      <x:c r="I210" s="44" t="n"/>
      <x:c r="J210" s="44" t="n"/>
      <x:c r="K210" s="44" t="n"/>
      <x:c r="L210" s="45" t="n"/>
      <x:c r="M210" s="46" t="n"/>
      <x:c r="N210" s="62">
        <x:f>IF(OR(F210="",H210="",O210="Нет"),"",IF(H210="Вратарь",IF(L210="Да",Scoring!$C$7,IF(K210=1,Scoring!$C$8,IF(K210=2,Scoring!$C$9,Scoring!$C$10)))+IF(M210="",0,M210),N(IF(I210="",0,I210)*Scoring!$C$5)+N(IF(J210="",0,J210)*Scoring!$C$6)+IF(M210="",0,M210)))</x:f>
      </x:c>
      <x:c r="O210" s="62" t="inlineStr">
        <x:is>
          <x:t xml:space="preserve">Да</x:t>
        </x:is>
      </x:c>
      <x:c r="P210" s="62" t="n"/>
    </x:row>
    <x:row r="211">
      <x:c r="A211" s="42" t="n"/>
      <x:c r="B211" s="43" t="n"/>
      <x:c r="C211" s="43" t="n"/>
      <x:c r="D211" s="44" t="n"/>
      <x:c r="E211" s="44" t="n"/>
      <x:c r="F211" s="44" t="n"/>
      <x:c r="G211" s="44" t="n"/>
      <x:c r="H211" s="44" t="n"/>
      <x:c r="I211" s="44" t="n"/>
      <x:c r="J211" s="44" t="n"/>
      <x:c r="K211" s="44" t="n"/>
      <x:c r="L211" s="45" t="n"/>
      <x:c r="M211" s="46" t="n"/>
      <x:c r="N211" s="62">
        <x:f>IF(OR(F211="",H211="",O211="Нет"),"",IF(H211="Вратарь",IF(L211="Да",Scoring!$C$7,IF(K211=1,Scoring!$C$8,IF(K211=2,Scoring!$C$9,Scoring!$C$10)))+IF(M211="",0,M211),N(IF(I211="",0,I211)*Scoring!$C$5)+N(IF(J211="",0,J211)*Scoring!$C$6)+IF(M211="",0,M211)))</x:f>
      </x:c>
      <x:c r="O211" s="62" t="inlineStr">
        <x:is>
          <x:t xml:space="preserve">Да</x:t>
        </x:is>
      </x:c>
      <x:c r="P211" s="62" t="n"/>
    </x:row>
    <x:row r="212">
      <x:c r="A212" s="42" t="n"/>
      <x:c r="B212" s="43" t="n"/>
      <x:c r="C212" s="43" t="n"/>
      <x:c r="D212" s="44" t="n"/>
      <x:c r="E212" s="44" t="n"/>
      <x:c r="F212" s="44" t="n"/>
      <x:c r="G212" s="44" t="n"/>
      <x:c r="H212" s="44" t="n"/>
      <x:c r="I212" s="44" t="n"/>
      <x:c r="J212" s="44" t="n"/>
      <x:c r="K212" s="44" t="n"/>
      <x:c r="L212" s="45" t="n"/>
      <x:c r="M212" s="46" t="n"/>
      <x:c r="N212" s="62">
        <x:f>IF(OR(F212="",H212="",O212="Нет"),"",IF(H212="Вратарь",IF(L212="Да",Scoring!$C$7,IF(K212=1,Scoring!$C$8,IF(K212=2,Scoring!$C$9,Scoring!$C$10)))+IF(M212="",0,M212),N(IF(I212="",0,I212)*Scoring!$C$5)+N(IF(J212="",0,J212)*Scoring!$C$6)+IF(M212="",0,M212)))</x:f>
      </x:c>
      <x:c r="O212" s="62" t="inlineStr">
        <x:is>
          <x:t xml:space="preserve">Да</x:t>
        </x:is>
      </x:c>
      <x:c r="P212" s="62" t="n"/>
    </x:row>
    <x:row r="213">
      <x:c r="A213" s="42" t="n"/>
      <x:c r="B213" s="43" t="n"/>
      <x:c r="C213" s="43" t="n"/>
      <x:c r="D213" s="44" t="n"/>
      <x:c r="E213" s="44" t="n"/>
      <x:c r="F213" s="44" t="n"/>
      <x:c r="G213" s="44" t="n"/>
      <x:c r="H213" s="44" t="n"/>
      <x:c r="I213" s="44" t="n"/>
      <x:c r="J213" s="44" t="n"/>
      <x:c r="K213" s="44" t="n"/>
      <x:c r="L213" s="45" t="n"/>
      <x:c r="M213" s="46" t="n"/>
      <x:c r="N213" s="62">
        <x:f>IF(OR(F213="",H213="",O213="Нет"),"",IF(H213="Вратарь",IF(L213="Да",Scoring!$C$7,IF(K213=1,Scoring!$C$8,IF(K213=2,Scoring!$C$9,Scoring!$C$10)))+IF(M213="",0,M213),N(IF(I213="",0,I213)*Scoring!$C$5)+N(IF(J213="",0,J213)*Scoring!$C$6)+IF(M213="",0,M213)))</x:f>
      </x:c>
      <x:c r="O213" s="62" t="inlineStr">
        <x:is>
          <x:t xml:space="preserve">Да</x:t>
        </x:is>
      </x:c>
      <x:c r="P213" s="62" t="n"/>
    </x:row>
    <x:row r="214">
      <x:c r="A214" s="42" t="n"/>
      <x:c r="B214" s="43" t="n"/>
      <x:c r="C214" s="43" t="n"/>
      <x:c r="D214" s="44" t="n"/>
      <x:c r="E214" s="44" t="n"/>
      <x:c r="F214" s="44" t="n"/>
      <x:c r="G214" s="44" t="n"/>
      <x:c r="H214" s="44" t="n"/>
      <x:c r="I214" s="44" t="n"/>
      <x:c r="J214" s="44" t="n"/>
      <x:c r="K214" s="44" t="n"/>
      <x:c r="L214" s="45" t="n"/>
      <x:c r="M214" s="46" t="n"/>
      <x:c r="N214" s="62">
        <x:f>IF(OR(F214="",H214="",O214="Нет"),"",IF(H214="Вратарь",IF(L214="Да",Scoring!$C$7,IF(K214=1,Scoring!$C$8,IF(K214=2,Scoring!$C$9,Scoring!$C$10)))+IF(M214="",0,M214),N(IF(I214="",0,I214)*Scoring!$C$5)+N(IF(J214="",0,J214)*Scoring!$C$6)+IF(M214="",0,M214)))</x:f>
      </x:c>
      <x:c r="O214" s="62" t="inlineStr">
        <x:is>
          <x:t xml:space="preserve">Да</x:t>
        </x:is>
      </x:c>
      <x:c r="P214" s="62" t="n"/>
    </x:row>
    <x:row r="215">
      <x:c r="A215" s="42" t="n"/>
      <x:c r="B215" s="43" t="n"/>
      <x:c r="C215" s="43" t="n"/>
      <x:c r="D215" s="44" t="n"/>
      <x:c r="E215" s="44" t="n"/>
      <x:c r="F215" s="44" t="n"/>
      <x:c r="G215" s="44" t="n"/>
      <x:c r="H215" s="44" t="n"/>
      <x:c r="I215" s="44" t="n"/>
      <x:c r="J215" s="44" t="n"/>
      <x:c r="K215" s="44" t="n"/>
      <x:c r="L215" s="45" t="n"/>
      <x:c r="M215" s="46" t="n"/>
      <x:c r="N215" s="62">
        <x:f>IF(OR(F215="",H215="",O215="Нет"),"",IF(H215="Вратарь",IF(L215="Да",Scoring!$C$7,IF(K215=1,Scoring!$C$8,IF(K215=2,Scoring!$C$9,Scoring!$C$10)))+IF(M215="",0,M215),N(IF(I215="",0,I215)*Scoring!$C$5)+N(IF(J215="",0,J215)*Scoring!$C$6)+IF(M215="",0,M215)))</x:f>
      </x:c>
      <x:c r="O215" s="62" t="inlineStr">
        <x:is>
          <x:t xml:space="preserve">Да</x:t>
        </x:is>
      </x:c>
      <x:c r="P215" s="62" t="n"/>
    </x:row>
    <x:row r="216">
      <x:c r="A216" s="42" t="n"/>
      <x:c r="B216" s="43" t="n"/>
      <x:c r="C216" s="43" t="n"/>
      <x:c r="D216" s="44" t="n"/>
      <x:c r="E216" s="44" t="n"/>
      <x:c r="F216" s="44" t="n"/>
      <x:c r="G216" s="44" t="n"/>
      <x:c r="H216" s="44" t="n"/>
      <x:c r="I216" s="44" t="n"/>
      <x:c r="J216" s="44" t="n"/>
      <x:c r="K216" s="44" t="n"/>
      <x:c r="L216" s="45" t="n"/>
      <x:c r="M216" s="46" t="n"/>
      <x:c r="N216" s="62">
        <x:f>IF(OR(F216="",H216="",O216="Нет"),"",IF(H216="Вратарь",IF(L216="Да",Scoring!$C$7,IF(K216=1,Scoring!$C$8,IF(K216=2,Scoring!$C$9,Scoring!$C$10)))+IF(M216="",0,M216),N(IF(I216="",0,I216)*Scoring!$C$5)+N(IF(J216="",0,J216)*Scoring!$C$6)+IF(M216="",0,M216)))</x:f>
      </x:c>
      <x:c r="O216" s="62" t="inlineStr">
        <x:is>
          <x:t xml:space="preserve">Да</x:t>
        </x:is>
      </x:c>
      <x:c r="P216" s="62" t="n"/>
    </x:row>
    <x:row r="217">
      <x:c r="A217" s="42" t="n"/>
      <x:c r="B217" s="43" t="n"/>
      <x:c r="C217" s="43" t="n"/>
      <x:c r="D217" s="44" t="n"/>
      <x:c r="E217" s="44" t="n"/>
      <x:c r="F217" s="44" t="n"/>
      <x:c r="G217" s="44" t="n"/>
      <x:c r="H217" s="44" t="n"/>
      <x:c r="I217" s="44" t="n"/>
      <x:c r="J217" s="44" t="n"/>
      <x:c r="K217" s="44" t="n"/>
      <x:c r="L217" s="45" t="n"/>
      <x:c r="M217" s="46" t="n"/>
      <x:c r="N217" s="62">
        <x:f>IF(OR(F217="",H217="",O217="Нет"),"",IF(H217="Вратарь",IF(L217="Да",Scoring!$C$7,IF(K217=1,Scoring!$C$8,IF(K217=2,Scoring!$C$9,Scoring!$C$10)))+IF(M217="",0,M217),N(IF(I217="",0,I217)*Scoring!$C$5)+N(IF(J217="",0,J217)*Scoring!$C$6)+IF(M217="",0,M217)))</x:f>
      </x:c>
      <x:c r="O217" s="62" t="inlineStr">
        <x:is>
          <x:t xml:space="preserve">Да</x:t>
        </x:is>
      </x:c>
      <x:c r="P217" s="62" t="n"/>
    </x:row>
    <x:row r="218">
      <x:c r="A218" s="42" t="n"/>
      <x:c r="B218" s="43" t="n"/>
      <x:c r="C218" s="43" t="n"/>
      <x:c r="D218" s="44" t="n"/>
      <x:c r="E218" s="44" t="n"/>
      <x:c r="F218" s="44" t="n"/>
      <x:c r="G218" s="44" t="n"/>
      <x:c r="H218" s="44" t="n"/>
      <x:c r="I218" s="44" t="n"/>
      <x:c r="J218" s="44" t="n"/>
      <x:c r="K218" s="44" t="n"/>
      <x:c r="L218" s="45" t="n"/>
      <x:c r="M218" s="46" t="n"/>
      <x:c r="N218" s="62">
        <x:f>IF(OR(F218="",H218="",O218="Нет"),"",IF(H218="Вратарь",IF(L218="Да",Scoring!$C$7,IF(K218=1,Scoring!$C$8,IF(K218=2,Scoring!$C$9,Scoring!$C$10)))+IF(M218="",0,M218),N(IF(I218="",0,I218)*Scoring!$C$5)+N(IF(J218="",0,J218)*Scoring!$C$6)+IF(M218="",0,M218)))</x:f>
      </x:c>
      <x:c r="O218" s="62" t="inlineStr">
        <x:is>
          <x:t xml:space="preserve">Да</x:t>
        </x:is>
      </x:c>
      <x:c r="P218" s="62" t="n"/>
    </x:row>
    <x:row r="219">
      <x:c r="A219" s="42" t="n"/>
      <x:c r="B219" s="43" t="n"/>
      <x:c r="C219" s="43" t="n"/>
      <x:c r="D219" s="44" t="n"/>
      <x:c r="E219" s="44" t="n"/>
      <x:c r="F219" s="44" t="n"/>
      <x:c r="G219" s="44" t="n"/>
      <x:c r="H219" s="44" t="n"/>
      <x:c r="I219" s="44" t="n"/>
      <x:c r="J219" s="44" t="n"/>
      <x:c r="K219" s="44" t="n"/>
      <x:c r="L219" s="45" t="n"/>
      <x:c r="M219" s="46" t="n"/>
      <x:c r="N219" s="62">
        <x:f>IF(OR(F219="",H219="",O219="Нет"),"",IF(H219="Вратарь",IF(L219="Да",Scoring!$C$7,IF(K219=1,Scoring!$C$8,IF(K219=2,Scoring!$C$9,Scoring!$C$10)))+IF(M219="",0,M219),N(IF(I219="",0,I219)*Scoring!$C$5)+N(IF(J219="",0,J219)*Scoring!$C$6)+IF(M219="",0,M219)))</x:f>
      </x:c>
      <x:c r="O219" s="62" t="inlineStr">
        <x:is>
          <x:t xml:space="preserve">Да</x:t>
        </x:is>
      </x:c>
      <x:c r="P219" s="62" t="n"/>
    </x:row>
    <x:row r="220">
      <x:c r="A220" s="42" t="n"/>
      <x:c r="B220" s="43" t="n"/>
      <x:c r="C220" s="43" t="n"/>
      <x:c r="D220" s="44" t="n"/>
      <x:c r="E220" s="44" t="n"/>
      <x:c r="F220" s="44" t="n"/>
      <x:c r="G220" s="44" t="n"/>
      <x:c r="H220" s="44" t="n"/>
      <x:c r="I220" s="44" t="n"/>
      <x:c r="J220" s="44" t="n"/>
      <x:c r="K220" s="44" t="n"/>
      <x:c r="L220" s="45" t="n"/>
      <x:c r="M220" s="46" t="n"/>
      <x:c r="N220" s="62">
        <x:f>IF(OR(F220="",H220="",O220="Нет"),"",IF(H220="Вратарь",IF(L220="Да",Scoring!$C$7,IF(K220=1,Scoring!$C$8,IF(K220=2,Scoring!$C$9,Scoring!$C$10)))+IF(M220="",0,M220),N(IF(I220="",0,I220)*Scoring!$C$5)+N(IF(J220="",0,J220)*Scoring!$C$6)+IF(M220="",0,M220)))</x:f>
      </x:c>
      <x:c r="O220" s="62" t="inlineStr">
        <x:is>
          <x:t xml:space="preserve">Да</x:t>
        </x:is>
      </x:c>
      <x:c r="P220" s="62" t="n"/>
    </x:row>
    <x:row r="221">
      <x:c r="A221" s="42" t="n"/>
      <x:c r="B221" s="43" t="n"/>
      <x:c r="C221" s="43" t="n"/>
      <x:c r="D221" s="44" t="n"/>
      <x:c r="E221" s="44" t="n"/>
      <x:c r="F221" s="44" t="n"/>
      <x:c r="G221" s="44" t="n"/>
      <x:c r="H221" s="44" t="n"/>
      <x:c r="I221" s="44" t="n"/>
      <x:c r="J221" s="44" t="n"/>
      <x:c r="K221" s="44" t="n"/>
      <x:c r="L221" s="45" t="n"/>
      <x:c r="M221" s="46" t="n"/>
      <x:c r="N221" s="62">
        <x:f>IF(OR(F221="",H221="",O221="Нет"),"",IF(H221="Вратарь",IF(L221="Да",Scoring!$C$7,IF(K221=1,Scoring!$C$8,IF(K221=2,Scoring!$C$9,Scoring!$C$10)))+IF(M221="",0,M221),N(IF(I221="",0,I221)*Scoring!$C$5)+N(IF(J221="",0,J221)*Scoring!$C$6)+IF(M221="",0,M221)))</x:f>
      </x:c>
      <x:c r="O221" s="62" t="inlineStr">
        <x:is>
          <x:t xml:space="preserve">Да</x:t>
        </x:is>
      </x:c>
      <x:c r="P221" s="62" t="n"/>
    </x:row>
    <x:row r="222">
      <x:c r="A222" s="42" t="n"/>
      <x:c r="B222" s="43" t="n"/>
      <x:c r="C222" s="43" t="n"/>
      <x:c r="D222" s="44" t="n"/>
      <x:c r="E222" s="44" t="n"/>
      <x:c r="F222" s="44" t="n"/>
      <x:c r="G222" s="44" t="n"/>
      <x:c r="H222" s="44" t="n"/>
      <x:c r="I222" s="44" t="n"/>
      <x:c r="J222" s="44" t="n"/>
      <x:c r="K222" s="44" t="n"/>
      <x:c r="L222" s="45" t="n"/>
      <x:c r="M222" s="46" t="n"/>
      <x:c r="N222" s="62">
        <x:f>IF(OR(F222="",H222="",O222="Нет"),"",IF(H222="Вратарь",IF(L222="Да",Scoring!$C$7,IF(K222=1,Scoring!$C$8,IF(K222=2,Scoring!$C$9,Scoring!$C$10)))+IF(M222="",0,M222),N(IF(I222="",0,I222)*Scoring!$C$5)+N(IF(J222="",0,J222)*Scoring!$C$6)+IF(M222="",0,M222)))</x:f>
      </x:c>
      <x:c r="O222" s="62" t="inlineStr">
        <x:is>
          <x:t xml:space="preserve">Да</x:t>
        </x:is>
      </x:c>
      <x:c r="P222" s="62" t="n"/>
    </x:row>
    <x:row r="223">
      <x:c r="A223" s="42" t="n"/>
      <x:c r="B223" s="43" t="n"/>
      <x:c r="C223" s="43" t="n"/>
      <x:c r="D223" s="44" t="n"/>
      <x:c r="E223" s="44" t="n"/>
      <x:c r="F223" s="44" t="n"/>
      <x:c r="G223" s="44" t="n"/>
      <x:c r="H223" s="44" t="n"/>
      <x:c r="I223" s="44" t="n"/>
      <x:c r="J223" s="44" t="n"/>
      <x:c r="K223" s="44" t="n"/>
      <x:c r="L223" s="45" t="n"/>
      <x:c r="M223" s="46" t="n"/>
      <x:c r="N223" s="62">
        <x:f>IF(OR(F223="",H223="",O223="Нет"),"",IF(H223="Вратарь",IF(L223="Да",Scoring!$C$7,IF(K223=1,Scoring!$C$8,IF(K223=2,Scoring!$C$9,Scoring!$C$10)))+IF(M223="",0,M223),N(IF(I223="",0,I223)*Scoring!$C$5)+N(IF(J223="",0,J223)*Scoring!$C$6)+IF(M223="",0,M223)))</x:f>
      </x:c>
      <x:c r="O223" s="62" t="inlineStr">
        <x:is>
          <x:t xml:space="preserve">Да</x:t>
        </x:is>
      </x:c>
      <x:c r="P223" s="62" t="n"/>
    </x:row>
    <x:row r="224">
      <x:c r="A224" s="42" t="n"/>
      <x:c r="B224" s="43" t="n"/>
      <x:c r="C224" s="43" t="n"/>
      <x:c r="D224" s="44" t="n"/>
      <x:c r="E224" s="44" t="n"/>
      <x:c r="F224" s="44" t="n"/>
      <x:c r="G224" s="44" t="n"/>
      <x:c r="H224" s="44" t="n"/>
      <x:c r="I224" s="44" t="n"/>
      <x:c r="J224" s="44" t="n"/>
      <x:c r="K224" s="44" t="n"/>
      <x:c r="L224" s="45" t="n"/>
      <x:c r="M224" s="46" t="n"/>
      <x:c r="N224" s="62">
        <x:f>IF(OR(F224="",H224="",O224="Нет"),"",IF(H224="Вратарь",IF(L224="Да",Scoring!$C$7,IF(K224=1,Scoring!$C$8,IF(K224=2,Scoring!$C$9,Scoring!$C$10)))+IF(M224="",0,M224),N(IF(I224="",0,I224)*Scoring!$C$5)+N(IF(J224="",0,J224)*Scoring!$C$6)+IF(M224="",0,M224)))</x:f>
      </x:c>
      <x:c r="O224" s="62" t="inlineStr">
        <x:is>
          <x:t xml:space="preserve">Да</x:t>
        </x:is>
      </x:c>
      <x:c r="P224" s="62" t="n"/>
    </x:row>
    <x:row r="225">
      <x:c r="A225" s="42" t="n"/>
      <x:c r="B225" s="43" t="n"/>
      <x:c r="C225" s="43" t="n"/>
      <x:c r="D225" s="44" t="n"/>
      <x:c r="E225" s="44" t="n"/>
      <x:c r="F225" s="44" t="n"/>
      <x:c r="G225" s="44" t="n"/>
      <x:c r="H225" s="44" t="n"/>
      <x:c r="I225" s="44" t="n"/>
      <x:c r="J225" s="44" t="n"/>
      <x:c r="K225" s="44" t="n"/>
      <x:c r="L225" s="45" t="n"/>
      <x:c r="M225" s="46" t="n"/>
      <x:c r="N225" s="62">
        <x:f>IF(OR(F225="",H225="",O225="Нет"),"",IF(H225="Вратарь",IF(L225="Да",Scoring!$C$7,IF(K225=1,Scoring!$C$8,IF(K225=2,Scoring!$C$9,Scoring!$C$10)))+IF(M225="",0,M225),N(IF(I225="",0,I225)*Scoring!$C$5)+N(IF(J225="",0,J225)*Scoring!$C$6)+IF(M225="",0,M225)))</x:f>
      </x:c>
      <x:c r="O225" s="62" t="inlineStr">
        <x:is>
          <x:t xml:space="preserve">Да</x:t>
        </x:is>
      </x:c>
      <x:c r="P225" s="62" t="n"/>
    </x:row>
    <x:row r="226">
      <x:c r="A226" s="42" t="n"/>
      <x:c r="B226" s="43" t="n"/>
      <x:c r="C226" s="43" t="n"/>
      <x:c r="D226" s="44" t="n"/>
      <x:c r="E226" s="44" t="n"/>
      <x:c r="F226" s="44" t="n"/>
      <x:c r="G226" s="44" t="n"/>
      <x:c r="H226" s="44" t="n"/>
      <x:c r="I226" s="44" t="n"/>
      <x:c r="J226" s="44" t="n"/>
      <x:c r="K226" s="44" t="n"/>
      <x:c r="L226" s="45" t="n"/>
      <x:c r="M226" s="46" t="n"/>
      <x:c r="N226" s="62">
        <x:f>IF(OR(F226="",H226="",O226="Нет"),"",IF(H226="Вратарь",IF(L226="Да",Scoring!$C$7,IF(K226=1,Scoring!$C$8,IF(K226=2,Scoring!$C$9,Scoring!$C$10)))+IF(M226="",0,M226),N(IF(I226="",0,I226)*Scoring!$C$5)+N(IF(J226="",0,J226)*Scoring!$C$6)+IF(M226="",0,M226)))</x:f>
      </x:c>
      <x:c r="O226" s="62" t="inlineStr">
        <x:is>
          <x:t xml:space="preserve">Да</x:t>
        </x:is>
      </x:c>
      <x:c r="P226" s="62" t="n"/>
    </x:row>
    <x:row r="227">
      <x:c r="A227" s="42" t="n"/>
      <x:c r="B227" s="43" t="n"/>
      <x:c r="C227" s="43" t="n"/>
      <x:c r="D227" s="44" t="n"/>
      <x:c r="E227" s="44" t="n"/>
      <x:c r="F227" s="44" t="n"/>
      <x:c r="G227" s="44" t="n"/>
      <x:c r="H227" s="44" t="n"/>
      <x:c r="I227" s="44" t="n"/>
      <x:c r="J227" s="44" t="n"/>
      <x:c r="K227" s="44" t="n"/>
      <x:c r="L227" s="45" t="n"/>
      <x:c r="M227" s="46" t="n"/>
      <x:c r="N227" s="62">
        <x:f>IF(OR(F227="",H227="",O227="Нет"),"",IF(H227="Вратарь",IF(L227="Да",Scoring!$C$7,IF(K227=1,Scoring!$C$8,IF(K227=2,Scoring!$C$9,Scoring!$C$10)))+IF(M227="",0,M227),N(IF(I227="",0,I227)*Scoring!$C$5)+N(IF(J227="",0,J227)*Scoring!$C$6)+IF(M227="",0,M227)))</x:f>
      </x:c>
      <x:c r="O227" s="62" t="inlineStr">
        <x:is>
          <x:t xml:space="preserve">Да</x:t>
        </x:is>
      </x:c>
      <x:c r="P227" s="62" t="n"/>
    </x:row>
    <x:row r="228">
      <x:c r="A228" s="42" t="n"/>
      <x:c r="B228" s="43" t="n"/>
      <x:c r="C228" s="43" t="n"/>
      <x:c r="D228" s="44" t="n"/>
      <x:c r="E228" s="44" t="n"/>
      <x:c r="F228" s="44" t="n"/>
      <x:c r="G228" s="44" t="n"/>
      <x:c r="H228" s="44" t="n"/>
      <x:c r="I228" s="44" t="n"/>
      <x:c r="J228" s="44" t="n"/>
      <x:c r="K228" s="44" t="n"/>
      <x:c r="L228" s="45" t="n"/>
      <x:c r="M228" s="46" t="n"/>
      <x:c r="N228" s="62">
        <x:f>IF(OR(F228="",H228="",O228="Нет"),"",IF(H228="Вратарь",IF(L228="Да",Scoring!$C$7,IF(K228=1,Scoring!$C$8,IF(K228=2,Scoring!$C$9,Scoring!$C$10)))+IF(M228="",0,M228),N(IF(I228="",0,I228)*Scoring!$C$5)+N(IF(J228="",0,J228)*Scoring!$C$6)+IF(M228="",0,M228)))</x:f>
      </x:c>
      <x:c r="O228" s="62" t="inlineStr">
        <x:is>
          <x:t xml:space="preserve">Да</x:t>
        </x:is>
      </x:c>
      <x:c r="P228" s="62" t="n"/>
    </x:row>
    <x:row r="229">
      <x:c r="A229" s="42" t="n"/>
      <x:c r="B229" s="43" t="n"/>
      <x:c r="C229" s="43" t="n"/>
      <x:c r="D229" s="44" t="n"/>
      <x:c r="E229" s="44" t="n"/>
      <x:c r="F229" s="44" t="n"/>
      <x:c r="G229" s="44" t="n"/>
      <x:c r="H229" s="44" t="n"/>
      <x:c r="I229" s="44" t="n"/>
      <x:c r="J229" s="44" t="n"/>
      <x:c r="K229" s="44" t="n"/>
      <x:c r="L229" s="45" t="n"/>
      <x:c r="M229" s="46" t="n"/>
      <x:c r="N229" s="62">
        <x:f>IF(OR(F229="",H229="",O229="Нет"),"",IF(H229="Вратарь",IF(L229="Да",Scoring!$C$7,IF(K229=1,Scoring!$C$8,IF(K229=2,Scoring!$C$9,Scoring!$C$10)))+IF(M229="",0,M229),N(IF(I229="",0,I229)*Scoring!$C$5)+N(IF(J229="",0,J229)*Scoring!$C$6)+IF(M229="",0,M229)))</x:f>
      </x:c>
      <x:c r="O229" s="62" t="inlineStr">
        <x:is>
          <x:t xml:space="preserve">Да</x:t>
        </x:is>
      </x:c>
      <x:c r="P229" s="62" t="n"/>
    </x:row>
    <x:row r="230">
      <x:c r="A230" s="42" t="n"/>
      <x:c r="B230" s="43" t="n"/>
      <x:c r="C230" s="43" t="n"/>
      <x:c r="D230" s="44" t="n"/>
      <x:c r="E230" s="44" t="n"/>
      <x:c r="F230" s="44" t="n"/>
      <x:c r="G230" s="44" t="n"/>
      <x:c r="H230" s="44" t="n"/>
      <x:c r="I230" s="44" t="n"/>
      <x:c r="J230" s="44" t="n"/>
      <x:c r="K230" s="44" t="n"/>
      <x:c r="L230" s="45" t="n"/>
      <x:c r="M230" s="46" t="n"/>
      <x:c r="N230" s="62">
        <x:f>IF(OR(F230="",H230="",O230="Нет"),"",IF(H230="Вратарь",IF(L230="Да",Scoring!$C$7,IF(K230=1,Scoring!$C$8,IF(K230=2,Scoring!$C$9,Scoring!$C$10)))+IF(M230="",0,M230),N(IF(I230="",0,I230)*Scoring!$C$5)+N(IF(J230="",0,J230)*Scoring!$C$6)+IF(M230="",0,M230)))</x:f>
      </x:c>
      <x:c r="O230" s="62" t="inlineStr">
        <x:is>
          <x:t xml:space="preserve">Да</x:t>
        </x:is>
      </x:c>
      <x:c r="P230" s="62" t="n"/>
    </x:row>
    <x:row r="231">
      <x:c r="A231" s="42" t="n"/>
      <x:c r="B231" s="43" t="n"/>
      <x:c r="C231" s="43" t="n"/>
      <x:c r="D231" s="44" t="n"/>
      <x:c r="E231" s="44" t="n"/>
      <x:c r="F231" s="44" t="n"/>
      <x:c r="G231" s="44" t="n"/>
      <x:c r="H231" s="44" t="n"/>
      <x:c r="I231" s="44" t="n"/>
      <x:c r="J231" s="44" t="n"/>
      <x:c r="K231" s="44" t="n"/>
      <x:c r="L231" s="45" t="n"/>
      <x:c r="M231" s="46" t="n"/>
      <x:c r="N231" s="62">
        <x:f>IF(OR(F231="",H231="",O231="Нет"),"",IF(H231="Вратарь",IF(L231="Да",Scoring!$C$7,IF(K231=1,Scoring!$C$8,IF(K231=2,Scoring!$C$9,Scoring!$C$10)))+IF(M231="",0,M231),N(IF(I231="",0,I231)*Scoring!$C$5)+N(IF(J231="",0,J231)*Scoring!$C$6)+IF(M231="",0,M231)))</x:f>
      </x:c>
      <x:c r="O231" s="62" t="inlineStr">
        <x:is>
          <x:t xml:space="preserve">Да</x:t>
        </x:is>
      </x:c>
      <x:c r="P231" s="62" t="n"/>
    </x:row>
    <x:row r="232">
      <x:c r="A232" s="42" t="n"/>
      <x:c r="B232" s="43" t="n"/>
      <x:c r="C232" s="43" t="n"/>
      <x:c r="D232" s="44" t="n"/>
      <x:c r="E232" s="44" t="n"/>
      <x:c r="F232" s="44" t="n"/>
      <x:c r="G232" s="44" t="n"/>
      <x:c r="H232" s="44" t="n"/>
      <x:c r="I232" s="44" t="n"/>
      <x:c r="J232" s="44" t="n"/>
      <x:c r="K232" s="44" t="n"/>
      <x:c r="L232" s="45" t="n"/>
      <x:c r="M232" s="46" t="n"/>
      <x:c r="N232" s="62">
        <x:f>IF(OR(F232="",H232="",O232="Нет"),"",IF(H232="Вратарь",IF(L232="Да",Scoring!$C$7,IF(K232=1,Scoring!$C$8,IF(K232=2,Scoring!$C$9,Scoring!$C$10)))+IF(M232="",0,M232),N(IF(I232="",0,I232)*Scoring!$C$5)+N(IF(J232="",0,J232)*Scoring!$C$6)+IF(M232="",0,M232)))</x:f>
      </x:c>
      <x:c r="O232" s="62" t="inlineStr">
        <x:is>
          <x:t xml:space="preserve">Да</x:t>
        </x:is>
      </x:c>
      <x:c r="P232" s="62" t="n"/>
    </x:row>
    <x:row r="233">
      <x:c r="A233" s="42" t="n"/>
      <x:c r="B233" s="43" t="n"/>
      <x:c r="C233" s="43" t="n"/>
      <x:c r="D233" s="44" t="n"/>
      <x:c r="E233" s="44" t="n"/>
      <x:c r="F233" s="44" t="n"/>
      <x:c r="G233" s="44" t="n"/>
      <x:c r="H233" s="44" t="n"/>
      <x:c r="I233" s="44" t="n"/>
      <x:c r="J233" s="44" t="n"/>
      <x:c r="K233" s="44" t="n"/>
      <x:c r="L233" s="45" t="n"/>
      <x:c r="M233" s="46" t="n"/>
      <x:c r="N233" s="62">
        <x:f>IF(OR(F233="",H233="",O233="Нет"),"",IF(H233="Вратарь",IF(L233="Да",Scoring!$C$7,IF(K233=1,Scoring!$C$8,IF(K233=2,Scoring!$C$9,Scoring!$C$10)))+IF(M233="",0,M233),N(IF(I233="",0,I233)*Scoring!$C$5)+N(IF(J233="",0,J233)*Scoring!$C$6)+IF(M233="",0,M233)))</x:f>
      </x:c>
      <x:c r="O233" s="62" t="inlineStr">
        <x:is>
          <x:t xml:space="preserve">Да</x:t>
        </x:is>
      </x:c>
      <x:c r="P233" s="62" t="n"/>
    </x:row>
    <x:row r="234">
      <x:c r="A234" s="42" t="n"/>
      <x:c r="B234" s="43" t="n"/>
      <x:c r="C234" s="43" t="n"/>
      <x:c r="D234" s="44" t="n"/>
      <x:c r="E234" s="44" t="n"/>
      <x:c r="F234" s="44" t="n"/>
      <x:c r="G234" s="44" t="n"/>
      <x:c r="H234" s="44" t="n"/>
      <x:c r="I234" s="44" t="n"/>
      <x:c r="J234" s="44" t="n"/>
      <x:c r="K234" s="44" t="n"/>
      <x:c r="L234" s="45" t="n"/>
      <x:c r="M234" s="46" t="n"/>
      <x:c r="N234" s="62">
        <x:f>IF(OR(F234="",H234="",O234="Нет"),"",IF(H234="Вратарь",IF(L234="Да",Scoring!$C$7,IF(K234=1,Scoring!$C$8,IF(K234=2,Scoring!$C$9,Scoring!$C$10)))+IF(M234="",0,M234),N(IF(I234="",0,I234)*Scoring!$C$5)+N(IF(J234="",0,J234)*Scoring!$C$6)+IF(M234="",0,M234)))</x:f>
      </x:c>
      <x:c r="O234" s="62" t="inlineStr">
        <x:is>
          <x:t xml:space="preserve">Да</x:t>
        </x:is>
      </x:c>
      <x:c r="P234" s="62" t="n"/>
    </x:row>
    <x:row r="235">
      <x:c r="A235" s="42" t="n"/>
      <x:c r="B235" s="43" t="n"/>
      <x:c r="C235" s="43" t="n"/>
      <x:c r="D235" s="44" t="n"/>
      <x:c r="E235" s="44" t="n"/>
      <x:c r="F235" s="44" t="n"/>
      <x:c r="G235" s="44" t="n"/>
      <x:c r="H235" s="44" t="n"/>
      <x:c r="I235" s="44" t="n"/>
      <x:c r="J235" s="44" t="n"/>
      <x:c r="K235" s="44" t="n"/>
      <x:c r="L235" s="45" t="n"/>
      <x:c r="M235" s="46" t="n"/>
      <x:c r="N235" s="62">
        <x:f>IF(OR(F235="",H235="",O235="Нет"),"",IF(H235="Вратарь",IF(L235="Да",Scoring!$C$7,IF(K235=1,Scoring!$C$8,IF(K235=2,Scoring!$C$9,Scoring!$C$10)))+IF(M235="",0,M235),N(IF(I235="",0,I235)*Scoring!$C$5)+N(IF(J235="",0,J235)*Scoring!$C$6)+IF(M235="",0,M235)))</x:f>
      </x:c>
      <x:c r="O235" s="62" t="inlineStr">
        <x:is>
          <x:t xml:space="preserve">Да</x:t>
        </x:is>
      </x:c>
      <x:c r="P235" s="62" t="n"/>
    </x:row>
    <x:row r="236">
      <x:c r="A236" s="42" t="n"/>
      <x:c r="B236" s="43" t="n"/>
      <x:c r="C236" s="43" t="n"/>
      <x:c r="D236" s="44" t="n"/>
      <x:c r="E236" s="44" t="n"/>
      <x:c r="F236" s="44" t="n"/>
      <x:c r="G236" s="44" t="n"/>
      <x:c r="H236" s="44" t="n"/>
      <x:c r="I236" s="44" t="n"/>
      <x:c r="J236" s="44" t="n"/>
      <x:c r="K236" s="44" t="n"/>
      <x:c r="L236" s="45" t="n"/>
      <x:c r="M236" s="46" t="n"/>
      <x:c r="N236" s="62">
        <x:f>IF(OR(F236="",H236="",O236="Нет"),"",IF(H236="Вратарь",IF(L236="Да",Scoring!$C$7,IF(K236=1,Scoring!$C$8,IF(K236=2,Scoring!$C$9,Scoring!$C$10)))+IF(M236="",0,M236),N(IF(I236="",0,I236)*Scoring!$C$5)+N(IF(J236="",0,J236)*Scoring!$C$6)+IF(M236="",0,M236)))</x:f>
      </x:c>
      <x:c r="O236" s="62" t="inlineStr">
        <x:is>
          <x:t xml:space="preserve">Да</x:t>
        </x:is>
      </x:c>
      <x:c r="P236" s="62" t="n"/>
    </x:row>
    <x:row r="237">
      <x:c r="A237" s="42" t="n"/>
      <x:c r="B237" s="43" t="n"/>
      <x:c r="C237" s="43" t="n"/>
      <x:c r="D237" s="44" t="n"/>
      <x:c r="E237" s="44" t="n"/>
      <x:c r="F237" s="44" t="n"/>
      <x:c r="G237" s="44" t="n"/>
      <x:c r="H237" s="44" t="n"/>
      <x:c r="I237" s="44" t="n"/>
      <x:c r="J237" s="44" t="n"/>
      <x:c r="K237" s="44" t="n"/>
      <x:c r="L237" s="45" t="n"/>
      <x:c r="M237" s="46" t="n"/>
      <x:c r="N237" s="62">
        <x:f>IF(OR(F237="",H237="",O237="Нет"),"",IF(H237="Вратарь",IF(L237="Да",Scoring!$C$7,IF(K237=1,Scoring!$C$8,IF(K237=2,Scoring!$C$9,Scoring!$C$10)))+IF(M237="",0,M237),N(IF(I237="",0,I237)*Scoring!$C$5)+N(IF(J237="",0,J237)*Scoring!$C$6)+IF(M237="",0,M237)))</x:f>
      </x:c>
      <x:c r="O237" s="62" t="inlineStr">
        <x:is>
          <x:t xml:space="preserve">Да</x:t>
        </x:is>
      </x:c>
      <x:c r="P237" s="62" t="n"/>
    </x:row>
    <x:row r="238">
      <x:c r="A238" s="42" t="n"/>
      <x:c r="B238" s="43" t="n"/>
      <x:c r="C238" s="43" t="n"/>
      <x:c r="D238" s="44" t="n"/>
      <x:c r="E238" s="44" t="n"/>
      <x:c r="F238" s="44" t="n"/>
      <x:c r="G238" s="44" t="n"/>
      <x:c r="H238" s="44" t="n"/>
      <x:c r="I238" s="44" t="n"/>
      <x:c r="J238" s="44" t="n"/>
      <x:c r="K238" s="44" t="n"/>
      <x:c r="L238" s="45" t="n"/>
      <x:c r="M238" s="46" t="n"/>
      <x:c r="N238" s="62">
        <x:f>IF(OR(F238="",H238="",O238="Нет"),"",IF(H238="Вратарь",IF(L238="Да",Scoring!$C$7,IF(K238=1,Scoring!$C$8,IF(K238=2,Scoring!$C$9,Scoring!$C$10)))+IF(M238="",0,M238),N(IF(I238="",0,I238)*Scoring!$C$5)+N(IF(J238="",0,J238)*Scoring!$C$6)+IF(M238="",0,M238)))</x:f>
      </x:c>
      <x:c r="O238" s="62" t="inlineStr">
        <x:is>
          <x:t xml:space="preserve">Да</x:t>
        </x:is>
      </x:c>
      <x:c r="P238" s="62" t="n"/>
    </x:row>
    <x:row r="239">
      <x:c r="A239" s="42" t="n"/>
      <x:c r="B239" s="43" t="n"/>
      <x:c r="C239" s="43" t="n"/>
      <x:c r="D239" s="44" t="n"/>
      <x:c r="E239" s="44" t="n"/>
      <x:c r="F239" s="44" t="n"/>
      <x:c r="G239" s="44" t="n"/>
      <x:c r="H239" s="44" t="n"/>
      <x:c r="I239" s="44" t="n"/>
      <x:c r="J239" s="44" t="n"/>
      <x:c r="K239" s="44" t="n"/>
      <x:c r="L239" s="45" t="n"/>
      <x:c r="M239" s="46" t="n"/>
      <x:c r="N239" s="62">
        <x:f>IF(OR(F239="",H239="",O239="Нет"),"",IF(H239="Вратарь",IF(L239="Да",Scoring!$C$7,IF(K239=1,Scoring!$C$8,IF(K239=2,Scoring!$C$9,Scoring!$C$10)))+IF(M239="",0,M239),N(IF(I239="",0,I239)*Scoring!$C$5)+N(IF(J239="",0,J239)*Scoring!$C$6)+IF(M239="",0,M239)))</x:f>
      </x:c>
      <x:c r="O239" s="62" t="inlineStr">
        <x:is>
          <x:t xml:space="preserve">Да</x:t>
        </x:is>
      </x:c>
      <x:c r="P239" s="62" t="n"/>
    </x:row>
    <x:row r="240">
      <x:c r="A240" s="42" t="n"/>
      <x:c r="B240" s="43" t="n"/>
      <x:c r="C240" s="43" t="n"/>
      <x:c r="D240" s="44" t="n"/>
      <x:c r="E240" s="44" t="n"/>
      <x:c r="F240" s="44" t="n"/>
      <x:c r="G240" s="44" t="n"/>
      <x:c r="H240" s="44" t="n"/>
      <x:c r="I240" s="44" t="n"/>
      <x:c r="J240" s="44" t="n"/>
      <x:c r="K240" s="44" t="n"/>
      <x:c r="L240" s="45" t="n"/>
      <x:c r="M240" s="46" t="n"/>
      <x:c r="N240" s="62">
        <x:f>IF(OR(F240="",H240="",O240="Нет"),"",IF(H240="Вратарь",IF(L240="Да",Scoring!$C$7,IF(K240=1,Scoring!$C$8,IF(K240=2,Scoring!$C$9,Scoring!$C$10)))+IF(M240="",0,M240),N(IF(I240="",0,I240)*Scoring!$C$5)+N(IF(J240="",0,J240)*Scoring!$C$6)+IF(M240="",0,M240)))</x:f>
      </x:c>
      <x:c r="O240" s="62" t="inlineStr">
        <x:is>
          <x:t xml:space="preserve">Да</x:t>
        </x:is>
      </x:c>
      <x:c r="P240" s="62" t="n"/>
    </x:row>
    <x:row r="241">
      <x:c r="A241" s="42" t="n"/>
      <x:c r="B241" s="43" t="n"/>
      <x:c r="C241" s="43" t="n"/>
      <x:c r="D241" s="44" t="n"/>
      <x:c r="E241" s="44" t="n"/>
      <x:c r="F241" s="44" t="n"/>
      <x:c r="G241" s="44" t="n"/>
      <x:c r="H241" s="44" t="n"/>
      <x:c r="I241" s="44" t="n"/>
      <x:c r="J241" s="44" t="n"/>
      <x:c r="K241" s="44" t="n"/>
      <x:c r="L241" s="45" t="n"/>
      <x:c r="M241" s="46" t="n"/>
      <x:c r="N241" s="62">
        <x:f>IF(OR(F241="",H241="",O241="Нет"),"",IF(H241="Вратарь",IF(L241="Да",Scoring!$C$7,IF(K241=1,Scoring!$C$8,IF(K241=2,Scoring!$C$9,Scoring!$C$10)))+IF(M241="",0,M241),N(IF(I241="",0,I241)*Scoring!$C$5)+N(IF(J241="",0,J241)*Scoring!$C$6)+IF(M241="",0,M241)))</x:f>
      </x:c>
      <x:c r="O241" s="62" t="inlineStr">
        <x:is>
          <x:t xml:space="preserve">Да</x:t>
        </x:is>
      </x:c>
      <x:c r="P241" s="62" t="n"/>
    </x:row>
    <x:row r="242">
      <x:c r="A242" s="42" t="n"/>
      <x:c r="B242" s="43" t="n"/>
      <x:c r="C242" s="43" t="n"/>
      <x:c r="D242" s="44" t="n"/>
      <x:c r="E242" s="44" t="n"/>
      <x:c r="F242" s="44" t="n"/>
      <x:c r="G242" s="44" t="n"/>
      <x:c r="H242" s="44" t="n"/>
      <x:c r="I242" s="44" t="n"/>
      <x:c r="J242" s="44" t="n"/>
      <x:c r="K242" s="44" t="n"/>
      <x:c r="L242" s="45" t="n"/>
      <x:c r="M242" s="46" t="n"/>
      <x:c r="N242" s="62">
        <x:f>IF(OR(F242="",H242="",O242="Нет"),"",IF(H242="Вратарь",IF(L242="Да",Scoring!$C$7,IF(K242=1,Scoring!$C$8,IF(K242=2,Scoring!$C$9,Scoring!$C$10)))+IF(M242="",0,M242),N(IF(I242="",0,I242)*Scoring!$C$5)+N(IF(J242="",0,J242)*Scoring!$C$6)+IF(M242="",0,M242)))</x:f>
      </x:c>
      <x:c r="O242" s="62" t="inlineStr">
        <x:is>
          <x:t xml:space="preserve">Да</x:t>
        </x:is>
      </x:c>
      <x:c r="P242" s="62" t="n"/>
    </x:row>
    <x:row r="243">
      <x:c r="A243" s="42" t="n"/>
      <x:c r="B243" s="43" t="n"/>
      <x:c r="C243" s="43" t="n"/>
      <x:c r="D243" s="44" t="n"/>
      <x:c r="E243" s="44" t="n"/>
      <x:c r="F243" s="44" t="n"/>
      <x:c r="G243" s="44" t="n"/>
      <x:c r="H243" s="44" t="n"/>
      <x:c r="I243" s="44" t="n"/>
      <x:c r="J243" s="44" t="n"/>
      <x:c r="K243" s="44" t="n"/>
      <x:c r="L243" s="45" t="n"/>
      <x:c r="M243" s="46" t="n"/>
      <x:c r="N243" s="62">
        <x:f>IF(OR(F243="",H243="",O243="Нет"),"",IF(H243="Вратарь",IF(L243="Да",Scoring!$C$7,IF(K243=1,Scoring!$C$8,IF(K243=2,Scoring!$C$9,Scoring!$C$10)))+IF(M243="",0,M243),N(IF(I243="",0,I243)*Scoring!$C$5)+N(IF(J243="",0,J243)*Scoring!$C$6)+IF(M243="",0,M243)))</x:f>
      </x:c>
      <x:c r="O243" s="62" t="inlineStr">
        <x:is>
          <x:t xml:space="preserve">Да</x:t>
        </x:is>
      </x:c>
      <x:c r="P243" s="62" t="n"/>
    </x:row>
    <x:row r="244">
      <x:c r="A244" s="42" t="n"/>
      <x:c r="B244" s="43" t="n"/>
      <x:c r="C244" s="43" t="n"/>
      <x:c r="D244" s="44" t="n"/>
      <x:c r="E244" s="44" t="n"/>
      <x:c r="F244" s="44" t="n"/>
      <x:c r="G244" s="44" t="n"/>
      <x:c r="H244" s="44" t="n"/>
      <x:c r="I244" s="44" t="n"/>
      <x:c r="J244" s="44" t="n"/>
      <x:c r="K244" s="44" t="n"/>
      <x:c r="L244" s="45" t="n"/>
      <x:c r="M244" s="46" t="n"/>
      <x:c r="N244" s="62">
        <x:f>IF(OR(F244="",H244="",O244="Нет"),"",IF(H244="Вратарь",IF(L244="Да",Scoring!$C$7,IF(K244=1,Scoring!$C$8,IF(K244=2,Scoring!$C$9,Scoring!$C$10)))+IF(M244="",0,M244),N(IF(I244="",0,I244)*Scoring!$C$5)+N(IF(J244="",0,J244)*Scoring!$C$6)+IF(M244="",0,M244)))</x:f>
      </x:c>
      <x:c r="O244" s="62" t="inlineStr">
        <x:is>
          <x:t xml:space="preserve">Да</x:t>
        </x:is>
      </x:c>
      <x:c r="P244" s="62" t="n"/>
    </x:row>
    <x:row r="245">
      <x:c r="A245" s="42" t="n"/>
      <x:c r="B245" s="43" t="n"/>
      <x:c r="C245" s="43" t="n"/>
      <x:c r="D245" s="44" t="n"/>
      <x:c r="E245" s="44" t="n"/>
      <x:c r="F245" s="44" t="n"/>
      <x:c r="G245" s="44" t="n"/>
      <x:c r="H245" s="44" t="n"/>
      <x:c r="I245" s="44" t="n"/>
      <x:c r="J245" s="44" t="n"/>
      <x:c r="K245" s="44" t="n"/>
      <x:c r="L245" s="45" t="n"/>
      <x:c r="M245" s="46" t="n"/>
      <x:c r="N245" s="62">
        <x:f>IF(OR(F245="",H245="",O245="Нет"),"",IF(H245="Вратарь",IF(L245="Да",Scoring!$C$7,IF(K245=1,Scoring!$C$8,IF(K245=2,Scoring!$C$9,Scoring!$C$10)))+IF(M245="",0,M245),N(IF(I245="",0,I245)*Scoring!$C$5)+N(IF(J245="",0,J245)*Scoring!$C$6)+IF(M245="",0,M245)))</x:f>
      </x:c>
      <x:c r="O245" s="62" t="inlineStr">
        <x:is>
          <x:t xml:space="preserve">Да</x:t>
        </x:is>
      </x:c>
      <x:c r="P245" s="62" t="n"/>
    </x:row>
    <x:row r="246">
      <x:c r="A246" s="42" t="n"/>
      <x:c r="B246" s="43" t="n"/>
      <x:c r="C246" s="43" t="n"/>
      <x:c r="D246" s="44" t="n"/>
      <x:c r="E246" s="44" t="n"/>
      <x:c r="F246" s="44" t="n"/>
      <x:c r="G246" s="44" t="n"/>
      <x:c r="H246" s="44" t="n"/>
      <x:c r="I246" s="44" t="n"/>
      <x:c r="J246" s="44" t="n"/>
      <x:c r="K246" s="44" t="n"/>
      <x:c r="L246" s="45" t="n"/>
      <x:c r="M246" s="46" t="n"/>
      <x:c r="N246" s="62">
        <x:f>IF(OR(F246="",H246="",O246="Нет"),"",IF(H246="Вратарь",IF(L246="Да",Scoring!$C$7,IF(K246=1,Scoring!$C$8,IF(K246=2,Scoring!$C$9,Scoring!$C$10)))+IF(M246="",0,M246),N(IF(I246="",0,I246)*Scoring!$C$5)+N(IF(J246="",0,J246)*Scoring!$C$6)+IF(M246="",0,M246)))</x:f>
      </x:c>
      <x:c r="O246" s="62" t="inlineStr">
        <x:is>
          <x:t xml:space="preserve">Да</x:t>
        </x:is>
      </x:c>
      <x:c r="P246" s="62" t="n"/>
    </x:row>
    <x:row r="247">
      <x:c r="A247" s="42" t="n"/>
      <x:c r="B247" s="43" t="n"/>
      <x:c r="C247" s="43" t="n"/>
      <x:c r="D247" s="44" t="n"/>
      <x:c r="E247" s="44" t="n"/>
      <x:c r="F247" s="44" t="n"/>
      <x:c r="G247" s="44" t="n"/>
      <x:c r="H247" s="44" t="n"/>
      <x:c r="I247" s="44" t="n"/>
      <x:c r="J247" s="44" t="n"/>
      <x:c r="K247" s="44" t="n"/>
      <x:c r="L247" s="45" t="n"/>
      <x:c r="M247" s="46" t="n"/>
      <x:c r="N247" s="62">
        <x:f>IF(OR(F247="",H247="",O247="Нет"),"",IF(H247="Вратарь",IF(L247="Да",Scoring!$C$7,IF(K247=1,Scoring!$C$8,IF(K247=2,Scoring!$C$9,Scoring!$C$10)))+IF(M247="",0,M247),N(IF(I247="",0,I247)*Scoring!$C$5)+N(IF(J247="",0,J247)*Scoring!$C$6)+IF(M247="",0,M247)))</x:f>
      </x:c>
      <x:c r="O247" s="62" t="inlineStr">
        <x:is>
          <x:t xml:space="preserve">Да</x:t>
        </x:is>
      </x:c>
      <x:c r="P247" s="62" t="n"/>
    </x:row>
    <x:row r="248">
      <x:c r="A248" s="42" t="n"/>
      <x:c r="B248" s="43" t="n"/>
      <x:c r="C248" s="43" t="n"/>
      <x:c r="D248" s="44" t="n"/>
      <x:c r="E248" s="44" t="n"/>
      <x:c r="F248" s="44" t="n"/>
      <x:c r="G248" s="44" t="n"/>
      <x:c r="H248" s="44" t="n"/>
      <x:c r="I248" s="44" t="n"/>
      <x:c r="J248" s="44" t="n"/>
      <x:c r="K248" s="44" t="n"/>
      <x:c r="L248" s="45" t="n"/>
      <x:c r="M248" s="46" t="n"/>
      <x:c r="N248" s="62">
        <x:f>IF(OR(F248="",H248="",O248="Нет"),"",IF(H248="Вратарь",IF(L248="Да",Scoring!$C$7,IF(K248=1,Scoring!$C$8,IF(K248=2,Scoring!$C$9,Scoring!$C$10)))+IF(M248="",0,M248),N(IF(I248="",0,I248)*Scoring!$C$5)+N(IF(J248="",0,J248)*Scoring!$C$6)+IF(M248="",0,M248)))</x:f>
      </x:c>
      <x:c r="O248" s="62" t="inlineStr">
        <x:is>
          <x:t xml:space="preserve">Да</x:t>
        </x:is>
      </x:c>
      <x:c r="P248" s="62" t="n"/>
    </x:row>
    <x:row r="249">
      <x:c r="A249" s="42" t="n"/>
      <x:c r="B249" s="43" t="n"/>
      <x:c r="C249" s="43" t="n"/>
      <x:c r="D249" s="44" t="n"/>
      <x:c r="E249" s="44" t="n"/>
      <x:c r="F249" s="44" t="n"/>
      <x:c r="G249" s="44" t="n"/>
      <x:c r="H249" s="44" t="n"/>
      <x:c r="I249" s="44" t="n"/>
      <x:c r="J249" s="44" t="n"/>
      <x:c r="K249" s="44" t="n"/>
      <x:c r="L249" s="45" t="n"/>
      <x:c r="M249" s="46" t="n"/>
      <x:c r="N249" s="62">
        <x:f>IF(OR(F249="",H249="",O249="Нет"),"",IF(H249="Вратарь",IF(L249="Да",Scoring!$C$7,IF(K249=1,Scoring!$C$8,IF(K249=2,Scoring!$C$9,Scoring!$C$10)))+IF(M249="",0,M249),N(IF(I249="",0,I249)*Scoring!$C$5)+N(IF(J249="",0,J249)*Scoring!$C$6)+IF(M249="",0,M249)))</x:f>
      </x:c>
      <x:c r="O249" s="62" t="inlineStr">
        <x:is>
          <x:t xml:space="preserve">Да</x:t>
        </x:is>
      </x:c>
      <x:c r="P249" s="62" t="n"/>
    </x:row>
    <x:row r="250">
      <x:c r="A250" s="42" t="n"/>
      <x:c r="B250" s="43" t="n"/>
      <x:c r="C250" s="43" t="n"/>
      <x:c r="D250" s="44" t="n"/>
      <x:c r="E250" s="44" t="n"/>
      <x:c r="F250" s="44" t="n"/>
      <x:c r="G250" s="44" t="n"/>
      <x:c r="H250" s="44" t="n"/>
      <x:c r="I250" s="44" t="n"/>
      <x:c r="J250" s="44" t="n"/>
      <x:c r="K250" s="44" t="n"/>
      <x:c r="L250" s="45" t="n"/>
      <x:c r="M250" s="46" t="n"/>
      <x:c r="N250" s="62">
        <x:f>IF(OR(F250="",H250="",O250="Нет"),"",IF(H250="Вратарь",IF(L250="Да",Scoring!$C$7,IF(K250=1,Scoring!$C$8,IF(K250=2,Scoring!$C$9,Scoring!$C$10)))+IF(M250="",0,M250),N(IF(I250="",0,I250)*Scoring!$C$5)+N(IF(J250="",0,J250)*Scoring!$C$6)+IF(M250="",0,M250)))</x:f>
      </x:c>
      <x:c r="O250" s="62" t="inlineStr">
        <x:is>
          <x:t xml:space="preserve">Да</x:t>
        </x:is>
      </x:c>
      <x:c r="P250" s="62" t="n"/>
    </x:row>
    <x:row r="251">
      <x:c r="A251" s="42" t="n"/>
      <x:c r="B251" s="43" t="n"/>
      <x:c r="C251" s="43" t="n"/>
      <x:c r="D251" s="44" t="n"/>
      <x:c r="E251" s="44" t="n"/>
      <x:c r="F251" s="44" t="n"/>
      <x:c r="G251" s="44" t="n"/>
      <x:c r="H251" s="44" t="n"/>
      <x:c r="I251" s="44" t="n"/>
      <x:c r="J251" s="44" t="n"/>
      <x:c r="K251" s="44" t="n"/>
      <x:c r="L251" s="45" t="n"/>
      <x:c r="M251" s="46" t="n"/>
      <x:c r="N251" s="62">
        <x:f>IF(OR(F251="",H251="",O251="Нет"),"",IF(H251="Вратарь",IF(L251="Да",Scoring!$C$7,IF(K251=1,Scoring!$C$8,IF(K251=2,Scoring!$C$9,Scoring!$C$10)))+IF(M251="",0,M251),N(IF(I251="",0,I251)*Scoring!$C$5)+N(IF(J251="",0,J251)*Scoring!$C$6)+IF(M251="",0,M251)))</x:f>
      </x:c>
      <x:c r="O251" s="62" t="inlineStr">
        <x:is>
          <x:t xml:space="preserve">Да</x:t>
        </x:is>
      </x:c>
      <x:c r="P251" s="62" t="n"/>
    </x:row>
    <x:row r="252">
      <x:c r="A252" s="42" t="n"/>
      <x:c r="B252" s="43" t="n"/>
      <x:c r="C252" s="43" t="n"/>
      <x:c r="D252" s="44" t="n"/>
      <x:c r="E252" s="44" t="n"/>
      <x:c r="F252" s="44" t="n"/>
      <x:c r="G252" s="44" t="n"/>
      <x:c r="H252" s="44" t="n"/>
      <x:c r="I252" s="44" t="n"/>
      <x:c r="J252" s="44" t="n"/>
      <x:c r="K252" s="44" t="n"/>
      <x:c r="L252" s="45" t="n"/>
      <x:c r="M252" s="46" t="n"/>
      <x:c r="N252" s="62">
        <x:f>IF(OR(F252="",H252="",O252="Нет"),"",IF(H252="Вратарь",IF(L252="Да",Scoring!$C$7,IF(K252=1,Scoring!$C$8,IF(K252=2,Scoring!$C$9,Scoring!$C$10)))+IF(M252="",0,M252),N(IF(I252="",0,I252)*Scoring!$C$5)+N(IF(J252="",0,J252)*Scoring!$C$6)+IF(M252="",0,M252)))</x:f>
      </x:c>
      <x:c r="O252" s="62" t="inlineStr">
        <x:is>
          <x:t xml:space="preserve">Да</x:t>
        </x:is>
      </x:c>
      <x:c r="P252" s="62" t="n"/>
    </x:row>
    <x:row r="253">
      <x:c r="A253" s="42" t="n"/>
      <x:c r="B253" s="43" t="n"/>
      <x:c r="C253" s="43" t="n"/>
      <x:c r="D253" s="44" t="n"/>
      <x:c r="E253" s="44" t="n"/>
      <x:c r="F253" s="44" t="n"/>
      <x:c r="G253" s="44" t="n"/>
      <x:c r="H253" s="44" t="n"/>
      <x:c r="I253" s="44" t="n"/>
      <x:c r="J253" s="44" t="n"/>
      <x:c r="K253" s="44" t="n"/>
      <x:c r="L253" s="45" t="n"/>
      <x:c r="M253" s="46" t="n"/>
      <x:c r="N253" s="62">
        <x:f>IF(OR(F253="",H253="",O253="Нет"),"",IF(H253="Вратарь",IF(L253="Да",Scoring!$C$7,IF(K253=1,Scoring!$C$8,IF(K253=2,Scoring!$C$9,Scoring!$C$10)))+IF(M253="",0,M253),N(IF(I253="",0,I253)*Scoring!$C$5)+N(IF(J253="",0,J253)*Scoring!$C$6)+IF(M253="",0,M253)))</x:f>
      </x:c>
      <x:c r="O253" s="62" t="inlineStr">
        <x:is>
          <x:t xml:space="preserve">Да</x:t>
        </x:is>
      </x:c>
      <x:c r="P253" s="62" t="n"/>
    </x:row>
    <x:row r="254">
      <x:c r="A254" s="42" t="n"/>
      <x:c r="B254" s="43" t="n"/>
      <x:c r="C254" s="43" t="n"/>
      <x:c r="D254" s="44" t="n"/>
      <x:c r="E254" s="44" t="n"/>
      <x:c r="F254" s="44" t="n"/>
      <x:c r="G254" s="44" t="n"/>
      <x:c r="H254" s="44" t="n"/>
      <x:c r="I254" s="44" t="n"/>
      <x:c r="J254" s="44" t="n"/>
      <x:c r="K254" s="44" t="n"/>
      <x:c r="L254" s="45" t="n"/>
      <x:c r="M254" s="46" t="n"/>
      <x:c r="N254" s="62">
        <x:f>IF(OR(F254="",H254="",O254="Нет"),"",IF(H254="Вратарь",IF(L254="Да",Scoring!$C$7,IF(K254=1,Scoring!$C$8,IF(K254=2,Scoring!$C$9,Scoring!$C$10)))+IF(M254="",0,M254),N(IF(I254="",0,I254)*Scoring!$C$5)+N(IF(J254="",0,J254)*Scoring!$C$6)+IF(M254="",0,M254)))</x:f>
      </x:c>
      <x:c r="O254" s="62" t="inlineStr">
        <x:is>
          <x:t xml:space="preserve">Да</x:t>
        </x:is>
      </x:c>
      <x:c r="P254" s="62" t="n"/>
    </x:row>
    <x:row r="255">
      <x:c r="A255" s="42" t="n"/>
      <x:c r="B255" s="43" t="n"/>
      <x:c r="C255" s="43" t="n"/>
      <x:c r="D255" s="44" t="n"/>
      <x:c r="E255" s="44" t="n"/>
      <x:c r="F255" s="44" t="n"/>
      <x:c r="G255" s="44" t="n"/>
      <x:c r="H255" s="44" t="n"/>
      <x:c r="I255" s="44" t="n"/>
      <x:c r="J255" s="44" t="n"/>
      <x:c r="K255" s="44" t="n"/>
      <x:c r="L255" s="45" t="n"/>
      <x:c r="M255" s="46" t="n"/>
      <x:c r="N255" s="62">
        <x:f>IF(OR(F255="",H255="",O255="Нет"),"",IF(H255="Вратарь",IF(L255="Да",Scoring!$C$7,IF(K255=1,Scoring!$C$8,IF(K255=2,Scoring!$C$9,Scoring!$C$10)))+IF(M255="",0,M255),N(IF(I255="",0,I255)*Scoring!$C$5)+N(IF(J255="",0,J255)*Scoring!$C$6)+IF(M255="",0,M255)))</x:f>
      </x:c>
      <x:c r="O255" s="62" t="inlineStr">
        <x:is>
          <x:t xml:space="preserve">Да</x:t>
        </x:is>
      </x:c>
      <x:c r="P255" s="62" t="n"/>
    </x:row>
    <x:row r="256">
      <x:c r="A256" s="42" t="n"/>
      <x:c r="B256" s="43" t="n"/>
      <x:c r="C256" s="43" t="n"/>
      <x:c r="D256" s="44" t="n"/>
      <x:c r="E256" s="44" t="n"/>
      <x:c r="F256" s="44" t="n"/>
      <x:c r="G256" s="44" t="n"/>
      <x:c r="H256" s="44" t="n"/>
      <x:c r="I256" s="44" t="n"/>
      <x:c r="J256" s="44" t="n"/>
      <x:c r="K256" s="44" t="n"/>
      <x:c r="L256" s="45" t="n"/>
      <x:c r="M256" s="46" t="n"/>
      <x:c r="N256" s="62">
        <x:f>IF(OR(F256="",H256="",O256="Нет"),"",IF(H256="Вратарь",IF(L256="Да",Scoring!$C$7,IF(K256=1,Scoring!$C$8,IF(K256=2,Scoring!$C$9,Scoring!$C$10)))+IF(M256="",0,M256),N(IF(I256="",0,I256)*Scoring!$C$5)+N(IF(J256="",0,J256)*Scoring!$C$6)+IF(M256="",0,M256)))</x:f>
      </x:c>
      <x:c r="O256" s="62" t="inlineStr">
        <x:is>
          <x:t xml:space="preserve">Да</x:t>
        </x:is>
      </x:c>
      <x:c r="P256" s="62" t="n"/>
    </x:row>
    <x:row r="257">
      <x:c r="A257" s="42" t="n"/>
      <x:c r="B257" s="43" t="n"/>
      <x:c r="C257" s="43" t="n"/>
      <x:c r="D257" s="44" t="n"/>
      <x:c r="E257" s="44" t="n"/>
      <x:c r="F257" s="44" t="n"/>
      <x:c r="G257" s="44" t="n"/>
      <x:c r="H257" s="44" t="n"/>
      <x:c r="I257" s="44" t="n"/>
      <x:c r="J257" s="44" t="n"/>
      <x:c r="K257" s="44" t="n"/>
      <x:c r="L257" s="45" t="n"/>
      <x:c r="M257" s="46" t="n"/>
      <x:c r="N257" s="62">
        <x:f>IF(OR(F257="",H257="",O257="Нет"),"",IF(H257="Вратарь",IF(L257="Да",Scoring!$C$7,IF(K257=1,Scoring!$C$8,IF(K257=2,Scoring!$C$9,Scoring!$C$10)))+IF(M257="",0,M257),N(IF(I257="",0,I257)*Scoring!$C$5)+N(IF(J257="",0,J257)*Scoring!$C$6)+IF(M257="",0,M257)))</x:f>
      </x:c>
      <x:c r="O257" s="62" t="inlineStr">
        <x:is>
          <x:t xml:space="preserve">Да</x:t>
        </x:is>
      </x:c>
      <x:c r="P257" s="62" t="n"/>
    </x:row>
    <x:row r="258">
      <x:c r="A258" s="42" t="n"/>
      <x:c r="B258" s="43" t="n"/>
      <x:c r="C258" s="43" t="n"/>
      <x:c r="D258" s="44" t="n"/>
      <x:c r="E258" s="44" t="n"/>
      <x:c r="F258" s="44" t="n"/>
      <x:c r="G258" s="44" t="n"/>
      <x:c r="H258" s="44" t="n"/>
      <x:c r="I258" s="44" t="n"/>
      <x:c r="J258" s="44" t="n"/>
      <x:c r="K258" s="44" t="n"/>
      <x:c r="L258" s="45" t="n"/>
      <x:c r="M258" s="46" t="n"/>
      <x:c r="N258" s="62">
        <x:f>IF(OR(F258="",H258="",O258="Нет"),"",IF(H258="Вратарь",IF(L258="Да",Scoring!$C$7,IF(K258=1,Scoring!$C$8,IF(K258=2,Scoring!$C$9,Scoring!$C$10)))+IF(M258="",0,M258),N(IF(I258="",0,I258)*Scoring!$C$5)+N(IF(J258="",0,J258)*Scoring!$C$6)+IF(M258="",0,M258)))</x:f>
      </x:c>
      <x:c r="O258" s="62" t="inlineStr">
        <x:is>
          <x:t xml:space="preserve">Да</x:t>
        </x:is>
      </x:c>
      <x:c r="P258" s="62" t="n"/>
    </x:row>
    <x:row r="259">
      <x:c r="A259" s="42" t="n"/>
      <x:c r="B259" s="43" t="n"/>
      <x:c r="C259" s="43" t="n"/>
      <x:c r="D259" s="44" t="n"/>
      <x:c r="E259" s="44" t="n"/>
      <x:c r="F259" s="44" t="n"/>
      <x:c r="G259" s="44" t="n"/>
      <x:c r="H259" s="44" t="n"/>
      <x:c r="I259" s="44" t="n"/>
      <x:c r="J259" s="44" t="n"/>
      <x:c r="K259" s="44" t="n"/>
      <x:c r="L259" s="45" t="n"/>
      <x:c r="M259" s="46" t="n"/>
      <x:c r="N259" s="62">
        <x:f>IF(OR(F259="",H259="",O259="Нет"),"",IF(H259="Вратарь",IF(L259="Да",Scoring!$C$7,IF(K259=1,Scoring!$C$8,IF(K259=2,Scoring!$C$9,Scoring!$C$10)))+IF(M259="",0,M259),N(IF(I259="",0,I259)*Scoring!$C$5)+N(IF(J259="",0,J259)*Scoring!$C$6)+IF(M259="",0,M259)))</x:f>
      </x:c>
      <x:c r="O259" s="62" t="inlineStr">
        <x:is>
          <x:t xml:space="preserve">Да</x:t>
        </x:is>
      </x:c>
      <x:c r="P259" s="62" t="n"/>
    </x:row>
    <x:row r="260">
      <x:c r="A260" s="42" t="n"/>
      <x:c r="B260" s="43" t="n"/>
      <x:c r="C260" s="43" t="n"/>
      <x:c r="D260" s="44" t="n"/>
      <x:c r="E260" s="44" t="n"/>
      <x:c r="F260" s="44" t="n"/>
      <x:c r="G260" s="44" t="n"/>
      <x:c r="H260" s="44" t="n"/>
      <x:c r="I260" s="44" t="n"/>
      <x:c r="J260" s="44" t="n"/>
      <x:c r="K260" s="44" t="n"/>
      <x:c r="L260" s="45" t="n"/>
      <x:c r="M260" s="46" t="n"/>
      <x:c r="N260" s="62">
        <x:f>IF(OR(F260="",H260="",O260="Нет"),"",IF(H260="Вратарь",IF(L260="Да",Scoring!$C$7,IF(K260=1,Scoring!$C$8,IF(K260=2,Scoring!$C$9,Scoring!$C$10)))+IF(M260="",0,M260),N(IF(I260="",0,I260)*Scoring!$C$5)+N(IF(J260="",0,J260)*Scoring!$C$6)+IF(M260="",0,M260)))</x:f>
      </x:c>
      <x:c r="O260" s="62" t="inlineStr">
        <x:is>
          <x:t xml:space="preserve">Да</x:t>
        </x:is>
      </x:c>
      <x:c r="P260" s="62" t="n"/>
    </x:row>
    <x:row r="261">
      <x:c r="A261" s="42" t="n"/>
      <x:c r="B261" s="43" t="n"/>
      <x:c r="C261" s="43" t="n"/>
      <x:c r="D261" s="44" t="n"/>
      <x:c r="E261" s="44" t="n"/>
      <x:c r="F261" s="44" t="n"/>
      <x:c r="G261" s="44" t="n"/>
      <x:c r="H261" s="44" t="n"/>
      <x:c r="I261" s="44" t="n"/>
      <x:c r="J261" s="44" t="n"/>
      <x:c r="K261" s="44" t="n"/>
      <x:c r="L261" s="45" t="n"/>
      <x:c r="M261" s="46" t="n"/>
      <x:c r="N261" s="62">
        <x:f>IF(OR(F261="",H261="",O261="Нет"),"",IF(H261="Вратарь",IF(L261="Да",Scoring!$C$7,IF(K261=1,Scoring!$C$8,IF(K261=2,Scoring!$C$9,Scoring!$C$10)))+IF(M261="",0,M261),N(IF(I261="",0,I261)*Scoring!$C$5)+N(IF(J261="",0,J261)*Scoring!$C$6)+IF(M261="",0,M261)))</x:f>
      </x:c>
      <x:c r="O261" s="62" t="inlineStr">
        <x:is>
          <x:t xml:space="preserve">Да</x:t>
        </x:is>
      </x:c>
      <x:c r="P261" s="62" t="n"/>
    </x:row>
    <x:row r="262">
      <x:c r="A262" s="42" t="n"/>
      <x:c r="B262" s="43" t="n"/>
      <x:c r="C262" s="43" t="n"/>
      <x:c r="D262" s="44" t="n"/>
      <x:c r="E262" s="44" t="n"/>
      <x:c r="F262" s="44" t="n"/>
      <x:c r="G262" s="44" t="n"/>
      <x:c r="H262" s="44" t="n"/>
      <x:c r="I262" s="44" t="n"/>
      <x:c r="J262" s="44" t="n"/>
      <x:c r="K262" s="44" t="n"/>
      <x:c r="L262" s="45" t="n"/>
      <x:c r="M262" s="46" t="n"/>
      <x:c r="N262" s="62">
        <x:f>IF(OR(F262="",H262="",O262="Нет"),"",IF(H262="Вратарь",IF(L262="Да",Scoring!$C$7,IF(K262=1,Scoring!$C$8,IF(K262=2,Scoring!$C$9,Scoring!$C$10)))+IF(M262="",0,M262),N(IF(I262="",0,I262)*Scoring!$C$5)+N(IF(J262="",0,J262)*Scoring!$C$6)+IF(M262="",0,M262)))</x:f>
      </x:c>
      <x:c r="O262" s="62" t="inlineStr">
        <x:is>
          <x:t xml:space="preserve">Да</x:t>
        </x:is>
      </x:c>
      <x:c r="P262" s="62" t="n"/>
    </x:row>
    <x:row r="263">
      <x:c r="A263" s="42" t="n"/>
      <x:c r="B263" s="43" t="n"/>
      <x:c r="C263" s="43" t="n"/>
      <x:c r="D263" s="44" t="n"/>
      <x:c r="E263" s="44" t="n"/>
      <x:c r="F263" s="44" t="n"/>
      <x:c r="G263" s="44" t="n"/>
      <x:c r="H263" s="44" t="n"/>
      <x:c r="I263" s="44" t="n"/>
      <x:c r="J263" s="44" t="n"/>
      <x:c r="K263" s="44" t="n"/>
      <x:c r="L263" s="45" t="n"/>
      <x:c r="M263" s="46" t="n"/>
      <x:c r="N263" s="62">
        <x:f>IF(OR(F263="",H263="",O263="Нет"),"",IF(H263="Вратарь",IF(L263="Да",Scoring!$C$7,IF(K263=1,Scoring!$C$8,IF(K263=2,Scoring!$C$9,Scoring!$C$10)))+IF(M263="",0,M263),N(IF(I263="",0,I263)*Scoring!$C$5)+N(IF(J263="",0,J263)*Scoring!$C$6)+IF(M263="",0,M263)))</x:f>
      </x:c>
      <x:c r="O263" s="62" t="inlineStr">
        <x:is>
          <x:t xml:space="preserve">Да</x:t>
        </x:is>
      </x:c>
      <x:c r="P263" s="62" t="n"/>
    </x:row>
    <x:row r="264">
      <x:c r="A264" s="42" t="n"/>
      <x:c r="B264" s="43" t="n"/>
      <x:c r="C264" s="43" t="n"/>
      <x:c r="D264" s="44" t="n"/>
      <x:c r="E264" s="44" t="n"/>
      <x:c r="F264" s="44" t="n"/>
      <x:c r="G264" s="44" t="n"/>
      <x:c r="H264" s="44" t="n"/>
      <x:c r="I264" s="44" t="n"/>
      <x:c r="J264" s="44" t="n"/>
      <x:c r="K264" s="44" t="n"/>
      <x:c r="L264" s="45" t="n"/>
      <x:c r="M264" s="46" t="n"/>
      <x:c r="N264" s="62">
        <x:f>IF(OR(F264="",H264="",O264="Нет"),"",IF(H264="Вратарь",IF(L264="Да",Scoring!$C$7,IF(K264=1,Scoring!$C$8,IF(K264=2,Scoring!$C$9,Scoring!$C$10)))+IF(M264="",0,M264),N(IF(I264="",0,I264)*Scoring!$C$5)+N(IF(J264="",0,J264)*Scoring!$C$6)+IF(M264="",0,M264)))</x:f>
      </x:c>
      <x:c r="O264" s="62" t="inlineStr">
        <x:is>
          <x:t xml:space="preserve">Да</x:t>
        </x:is>
      </x:c>
      <x:c r="P264" s="62" t="n"/>
    </x:row>
    <x:row r="265">
      <x:c r="A265" s="42" t="n"/>
      <x:c r="B265" s="43" t="n"/>
      <x:c r="C265" s="43" t="n"/>
      <x:c r="D265" s="44" t="n"/>
      <x:c r="E265" s="44" t="n"/>
      <x:c r="F265" s="44" t="n"/>
      <x:c r="G265" s="44" t="n"/>
      <x:c r="H265" s="44" t="n"/>
      <x:c r="I265" s="44" t="n"/>
      <x:c r="J265" s="44" t="n"/>
      <x:c r="K265" s="44" t="n"/>
      <x:c r="L265" s="45" t="n"/>
      <x:c r="M265" s="46" t="n"/>
      <x:c r="N265" s="62">
        <x:f>IF(OR(F265="",H265="",O265="Нет"),"",IF(H265="Вратарь",IF(L265="Да",Scoring!$C$7,IF(K265=1,Scoring!$C$8,IF(K265=2,Scoring!$C$9,Scoring!$C$10)))+IF(M265="",0,M265),N(IF(I265="",0,I265)*Scoring!$C$5)+N(IF(J265="",0,J265)*Scoring!$C$6)+IF(M265="",0,M265)))</x:f>
      </x:c>
      <x:c r="O265" s="62" t="inlineStr">
        <x:is>
          <x:t xml:space="preserve">Да</x:t>
        </x:is>
      </x:c>
      <x:c r="P265" s="62" t="n"/>
    </x:row>
    <x:row r="266">
      <x:c r="A266" s="42" t="n"/>
      <x:c r="B266" s="43" t="n"/>
      <x:c r="C266" s="43" t="n"/>
      <x:c r="D266" s="44" t="n"/>
      <x:c r="E266" s="44" t="n"/>
      <x:c r="F266" s="44" t="n"/>
      <x:c r="G266" s="44" t="n"/>
      <x:c r="H266" s="44" t="n"/>
      <x:c r="I266" s="44" t="n"/>
      <x:c r="J266" s="44" t="n"/>
      <x:c r="K266" s="44" t="n"/>
      <x:c r="L266" s="45" t="n"/>
      <x:c r="M266" s="46" t="n"/>
      <x:c r="N266" s="62">
        <x:f>IF(OR(F266="",H266="",O266="Нет"),"",IF(H266="Вратарь",IF(L266="Да",Scoring!$C$7,IF(K266=1,Scoring!$C$8,IF(K266=2,Scoring!$C$9,Scoring!$C$10)))+IF(M266="",0,M266),N(IF(I266="",0,I266)*Scoring!$C$5)+N(IF(J266="",0,J266)*Scoring!$C$6)+IF(M266="",0,M266)))</x:f>
      </x:c>
      <x:c r="O266" s="62" t="inlineStr">
        <x:is>
          <x:t xml:space="preserve">Да</x:t>
        </x:is>
      </x:c>
      <x:c r="P266" s="62" t="n"/>
    </x:row>
    <x:row r="267">
      <x:c r="A267" s="42" t="n"/>
      <x:c r="B267" s="43" t="n"/>
      <x:c r="C267" s="43" t="n"/>
      <x:c r="D267" s="44" t="n"/>
      <x:c r="E267" s="44" t="n"/>
      <x:c r="F267" s="44" t="n"/>
      <x:c r="G267" s="44" t="n"/>
      <x:c r="H267" s="44" t="n"/>
      <x:c r="I267" s="44" t="n"/>
      <x:c r="J267" s="44" t="n"/>
      <x:c r="K267" s="44" t="n"/>
      <x:c r="L267" s="45" t="n"/>
      <x:c r="M267" s="46" t="n"/>
      <x:c r="N267" s="62">
        <x:f>IF(OR(F267="",H267="",O267="Нет"),"",IF(H267="Вратарь",IF(L267="Да",Scoring!$C$7,IF(K267=1,Scoring!$C$8,IF(K267=2,Scoring!$C$9,Scoring!$C$10)))+IF(M267="",0,M267),N(IF(I267="",0,I267)*Scoring!$C$5)+N(IF(J267="",0,J267)*Scoring!$C$6)+IF(M267="",0,M267)))</x:f>
      </x:c>
      <x:c r="O267" s="62" t="inlineStr">
        <x:is>
          <x:t xml:space="preserve">Да</x:t>
        </x:is>
      </x:c>
      <x:c r="P267" s="62" t="n"/>
    </x:row>
    <x:row r="268">
      <x:c r="A268" s="42" t="n"/>
      <x:c r="B268" s="43" t="n"/>
      <x:c r="C268" s="43" t="n"/>
      <x:c r="D268" s="44" t="n"/>
      <x:c r="E268" s="44" t="n"/>
      <x:c r="F268" s="44" t="n"/>
      <x:c r="G268" s="44" t="n"/>
      <x:c r="H268" s="44" t="n"/>
      <x:c r="I268" s="44" t="n"/>
      <x:c r="J268" s="44" t="n"/>
      <x:c r="K268" s="44" t="n"/>
      <x:c r="L268" s="45" t="n"/>
      <x:c r="M268" s="46" t="n"/>
      <x:c r="N268" s="62">
        <x:f>IF(OR(F268="",H268="",O268="Нет"),"",IF(H268="Вратарь",IF(L268="Да",Scoring!$C$7,IF(K268=1,Scoring!$C$8,IF(K268=2,Scoring!$C$9,Scoring!$C$10)))+IF(M268="",0,M268),N(IF(I268="",0,I268)*Scoring!$C$5)+N(IF(J268="",0,J268)*Scoring!$C$6)+IF(M268="",0,M268)))</x:f>
      </x:c>
      <x:c r="O268" s="62" t="inlineStr">
        <x:is>
          <x:t xml:space="preserve">Да</x:t>
        </x:is>
      </x:c>
      <x:c r="P268" s="62" t="n"/>
    </x:row>
    <x:row r="269">
      <x:c r="A269" s="42" t="n"/>
      <x:c r="B269" s="43" t="n"/>
      <x:c r="C269" s="43" t="n"/>
      <x:c r="D269" s="44" t="n"/>
      <x:c r="E269" s="44" t="n"/>
      <x:c r="F269" s="44" t="n"/>
      <x:c r="G269" s="44" t="n"/>
      <x:c r="H269" s="44" t="n"/>
      <x:c r="I269" s="44" t="n"/>
      <x:c r="J269" s="44" t="n"/>
      <x:c r="K269" s="44" t="n"/>
      <x:c r="L269" s="45" t="n"/>
      <x:c r="M269" s="46" t="n"/>
      <x:c r="N269" s="62">
        <x:f>IF(OR(F269="",H269="",O269="Нет"),"",IF(H269="Вратарь",IF(L269="Да",Scoring!$C$7,IF(K269=1,Scoring!$C$8,IF(K269=2,Scoring!$C$9,Scoring!$C$10)))+IF(M269="",0,M269),N(IF(I269="",0,I269)*Scoring!$C$5)+N(IF(J269="",0,J269)*Scoring!$C$6)+IF(M269="",0,M269)))</x:f>
      </x:c>
      <x:c r="O269" s="62" t="inlineStr">
        <x:is>
          <x:t xml:space="preserve">Да</x:t>
        </x:is>
      </x:c>
      <x:c r="P269" s="62" t="n"/>
    </x:row>
    <x:row r="270">
      <x:c r="A270" s="42" t="n"/>
      <x:c r="B270" s="43" t="n"/>
      <x:c r="C270" s="43" t="n"/>
      <x:c r="D270" s="44" t="n"/>
      <x:c r="E270" s="44" t="n"/>
      <x:c r="F270" s="44" t="n"/>
      <x:c r="G270" s="44" t="n"/>
      <x:c r="H270" s="44" t="n"/>
      <x:c r="I270" s="44" t="n"/>
      <x:c r="J270" s="44" t="n"/>
      <x:c r="K270" s="44" t="n"/>
      <x:c r="L270" s="45" t="n"/>
      <x:c r="M270" s="46" t="n"/>
      <x:c r="N270" s="62">
        <x:f>IF(OR(F270="",H270="",O270="Нет"),"",IF(H270="Вратарь",IF(L270="Да",Scoring!$C$7,IF(K270=1,Scoring!$C$8,IF(K270=2,Scoring!$C$9,Scoring!$C$10)))+IF(M270="",0,M270),N(IF(I270="",0,I270)*Scoring!$C$5)+N(IF(J270="",0,J270)*Scoring!$C$6)+IF(M270="",0,M270)))</x:f>
      </x:c>
      <x:c r="O270" s="62" t="inlineStr">
        <x:is>
          <x:t xml:space="preserve">Да</x:t>
        </x:is>
      </x:c>
      <x:c r="P270" s="62" t="n"/>
    </x:row>
    <x:row r="271">
      <x:c r="A271" s="42" t="n"/>
      <x:c r="B271" s="43" t="n"/>
      <x:c r="C271" s="43" t="n"/>
      <x:c r="D271" s="44" t="n"/>
      <x:c r="E271" s="44" t="n"/>
      <x:c r="F271" s="44" t="n"/>
      <x:c r="G271" s="44" t="n"/>
      <x:c r="H271" s="44" t="n"/>
      <x:c r="I271" s="44" t="n"/>
      <x:c r="J271" s="44" t="n"/>
      <x:c r="K271" s="44" t="n"/>
      <x:c r="L271" s="45" t="n"/>
      <x:c r="M271" s="46" t="n"/>
      <x:c r="N271" s="62">
        <x:f>IF(OR(F271="",H271="",O271="Нет"),"",IF(H271="Вратарь",IF(L271="Да",Scoring!$C$7,IF(K271=1,Scoring!$C$8,IF(K271=2,Scoring!$C$9,Scoring!$C$10)))+IF(M271="",0,M271),N(IF(I271="",0,I271)*Scoring!$C$5)+N(IF(J271="",0,J271)*Scoring!$C$6)+IF(M271="",0,M271)))</x:f>
      </x:c>
      <x:c r="O271" s="62" t="inlineStr">
        <x:is>
          <x:t xml:space="preserve">Да</x:t>
        </x:is>
      </x:c>
      <x:c r="P271" s="62" t="n"/>
    </x:row>
    <x:row r="272">
      <x:c r="A272" s="42" t="n"/>
      <x:c r="B272" s="43" t="n"/>
      <x:c r="C272" s="43" t="n"/>
      <x:c r="D272" s="44" t="n"/>
      <x:c r="E272" s="44" t="n"/>
      <x:c r="F272" s="44" t="n"/>
      <x:c r="G272" s="44" t="n"/>
      <x:c r="H272" s="44" t="n"/>
      <x:c r="I272" s="44" t="n"/>
      <x:c r="J272" s="44" t="n"/>
      <x:c r="K272" s="44" t="n"/>
      <x:c r="L272" s="45" t="n"/>
      <x:c r="M272" s="46" t="n"/>
      <x:c r="N272" s="62">
        <x:f>IF(OR(F272="",H272="",O272="Нет"),"",IF(H272="Вратарь",IF(L272="Да",Scoring!$C$7,IF(K272=1,Scoring!$C$8,IF(K272=2,Scoring!$C$9,Scoring!$C$10)))+IF(M272="",0,M272),N(IF(I272="",0,I272)*Scoring!$C$5)+N(IF(J272="",0,J272)*Scoring!$C$6)+IF(M272="",0,M272)))</x:f>
      </x:c>
      <x:c r="O272" s="62" t="inlineStr">
        <x:is>
          <x:t xml:space="preserve">Да</x:t>
        </x:is>
      </x:c>
      <x:c r="P272" s="62" t="n"/>
    </x:row>
    <x:row r="273">
      <x:c r="A273" s="42" t="n"/>
      <x:c r="B273" s="43" t="n"/>
      <x:c r="C273" s="43" t="n"/>
      <x:c r="D273" s="44" t="n"/>
      <x:c r="E273" s="44" t="n"/>
      <x:c r="F273" s="44" t="n"/>
      <x:c r="G273" s="44" t="n"/>
      <x:c r="H273" s="44" t="n"/>
      <x:c r="I273" s="44" t="n"/>
      <x:c r="J273" s="44" t="n"/>
      <x:c r="K273" s="44" t="n"/>
      <x:c r="L273" s="45" t="n"/>
      <x:c r="M273" s="46" t="n"/>
      <x:c r="N273" s="62">
        <x:f>IF(OR(F273="",H273="",O273="Нет"),"",IF(H273="Вратарь",IF(L273="Да",Scoring!$C$7,IF(K273=1,Scoring!$C$8,IF(K273=2,Scoring!$C$9,Scoring!$C$10)))+IF(M273="",0,M273),N(IF(I273="",0,I273)*Scoring!$C$5)+N(IF(J273="",0,J273)*Scoring!$C$6)+IF(M273="",0,M273)))</x:f>
      </x:c>
      <x:c r="O273" s="62" t="inlineStr">
        <x:is>
          <x:t xml:space="preserve">Да</x:t>
        </x:is>
      </x:c>
      <x:c r="P273" s="62" t="n"/>
    </x:row>
    <x:row r="274">
      <x:c r="A274" s="42" t="n"/>
      <x:c r="B274" s="43" t="n"/>
      <x:c r="C274" s="43" t="n"/>
      <x:c r="D274" s="44" t="n"/>
      <x:c r="E274" s="44" t="n"/>
      <x:c r="F274" s="44" t="n"/>
      <x:c r="G274" s="44" t="n"/>
      <x:c r="H274" s="44" t="n"/>
      <x:c r="I274" s="44" t="n"/>
      <x:c r="J274" s="44" t="n"/>
      <x:c r="K274" s="44" t="n"/>
      <x:c r="L274" s="45" t="n"/>
      <x:c r="M274" s="46" t="n"/>
      <x:c r="N274" s="62">
        <x:f>IF(OR(F274="",H274="",O274="Нет"),"",IF(H274="Вратарь",IF(L274="Да",Scoring!$C$7,IF(K274=1,Scoring!$C$8,IF(K274=2,Scoring!$C$9,Scoring!$C$10)))+IF(M274="",0,M274),N(IF(I274="",0,I274)*Scoring!$C$5)+N(IF(J274="",0,J274)*Scoring!$C$6)+IF(M274="",0,M274)))</x:f>
      </x:c>
      <x:c r="O274" s="62" t="inlineStr">
        <x:is>
          <x:t xml:space="preserve">Да</x:t>
        </x:is>
      </x:c>
      <x:c r="P274" s="62" t="n"/>
    </x:row>
    <x:row r="275">
      <x:c r="A275" s="42" t="n"/>
      <x:c r="B275" s="43" t="n"/>
      <x:c r="C275" s="43" t="n"/>
      <x:c r="D275" s="44" t="n"/>
      <x:c r="E275" s="44" t="n"/>
      <x:c r="F275" s="44" t="n"/>
      <x:c r="G275" s="44" t="n"/>
      <x:c r="H275" s="44" t="n"/>
      <x:c r="I275" s="44" t="n"/>
      <x:c r="J275" s="44" t="n"/>
      <x:c r="K275" s="44" t="n"/>
      <x:c r="L275" s="45" t="n"/>
      <x:c r="M275" s="46" t="n"/>
      <x:c r="N275" s="62">
        <x:f>IF(OR(F275="",H275="",O275="Нет"),"",IF(H275="Вратарь",IF(L275="Да",Scoring!$C$7,IF(K275=1,Scoring!$C$8,IF(K275=2,Scoring!$C$9,Scoring!$C$10)))+IF(M275="",0,M275),N(IF(I275="",0,I275)*Scoring!$C$5)+N(IF(J275="",0,J275)*Scoring!$C$6)+IF(M275="",0,M275)))</x:f>
      </x:c>
      <x:c r="O275" s="62" t="inlineStr">
        <x:is>
          <x:t xml:space="preserve">Да</x:t>
        </x:is>
      </x:c>
      <x:c r="P275" s="62" t="n"/>
    </x:row>
    <x:row r="276">
      <x:c r="A276" s="42" t="n"/>
      <x:c r="B276" s="43" t="n"/>
      <x:c r="C276" s="43" t="n"/>
      <x:c r="D276" s="44" t="n"/>
      <x:c r="E276" s="44" t="n"/>
      <x:c r="F276" s="44" t="n"/>
      <x:c r="G276" s="44" t="n"/>
      <x:c r="H276" s="44" t="n"/>
      <x:c r="I276" s="44" t="n"/>
      <x:c r="J276" s="44" t="n"/>
      <x:c r="K276" s="44" t="n"/>
      <x:c r="L276" s="45" t="n"/>
      <x:c r="M276" s="46" t="n"/>
      <x:c r="N276" s="62">
        <x:f>IF(OR(F276="",H276="",O276="Нет"),"",IF(H276="Вратарь",IF(L276="Да",Scoring!$C$7,IF(K276=1,Scoring!$C$8,IF(K276=2,Scoring!$C$9,Scoring!$C$10)))+IF(M276="",0,M276),N(IF(I276="",0,I276)*Scoring!$C$5)+N(IF(J276="",0,J276)*Scoring!$C$6)+IF(M276="",0,M276)))</x:f>
      </x:c>
      <x:c r="O276" s="62" t="inlineStr">
        <x:is>
          <x:t xml:space="preserve">Да</x:t>
        </x:is>
      </x:c>
      <x:c r="P276" s="62" t="n"/>
    </x:row>
    <x:row r="277">
      <x:c r="A277" s="42" t="n"/>
      <x:c r="B277" s="43" t="n"/>
      <x:c r="C277" s="43" t="n"/>
      <x:c r="D277" s="44" t="n"/>
      <x:c r="E277" s="44" t="n"/>
      <x:c r="F277" s="44" t="n"/>
      <x:c r="G277" s="44" t="n"/>
      <x:c r="H277" s="44" t="n"/>
      <x:c r="I277" s="44" t="n"/>
      <x:c r="J277" s="44" t="n"/>
      <x:c r="K277" s="44" t="n"/>
      <x:c r="L277" s="45" t="n"/>
      <x:c r="M277" s="46" t="n"/>
      <x:c r="N277" s="62">
        <x:f>IF(OR(F277="",H277="",O277="Нет"),"",IF(H277="Вратарь",IF(L277="Да",Scoring!$C$7,IF(K277=1,Scoring!$C$8,IF(K277=2,Scoring!$C$9,Scoring!$C$10)))+IF(M277="",0,M277),N(IF(I277="",0,I277)*Scoring!$C$5)+N(IF(J277="",0,J277)*Scoring!$C$6)+IF(M277="",0,M277)))</x:f>
      </x:c>
      <x:c r="O277" s="62" t="inlineStr">
        <x:is>
          <x:t xml:space="preserve">Да</x:t>
        </x:is>
      </x:c>
      <x:c r="P277" s="62" t="n"/>
    </x:row>
    <x:row r="278">
      <x:c r="A278" s="42" t="n"/>
      <x:c r="B278" s="43" t="n"/>
      <x:c r="C278" s="43" t="n"/>
      <x:c r="D278" s="44" t="n"/>
      <x:c r="E278" s="44" t="n"/>
      <x:c r="F278" s="44" t="n"/>
      <x:c r="G278" s="44" t="n"/>
      <x:c r="H278" s="44" t="n"/>
      <x:c r="I278" s="44" t="n"/>
      <x:c r="J278" s="44" t="n"/>
      <x:c r="K278" s="44" t="n"/>
      <x:c r="L278" s="45" t="n"/>
      <x:c r="M278" s="46" t="n"/>
      <x:c r="N278" s="62">
        <x:f>IF(OR(F278="",H278="",O278="Нет"),"",IF(H278="Вратарь",IF(L278="Да",Scoring!$C$7,IF(K278=1,Scoring!$C$8,IF(K278=2,Scoring!$C$9,Scoring!$C$10)))+IF(M278="",0,M278),N(IF(I278="",0,I278)*Scoring!$C$5)+N(IF(J278="",0,J278)*Scoring!$C$6)+IF(M278="",0,M278)))</x:f>
      </x:c>
      <x:c r="O278" s="62" t="inlineStr">
        <x:is>
          <x:t xml:space="preserve">Да</x:t>
        </x:is>
      </x:c>
      <x:c r="P278" s="62" t="n"/>
    </x:row>
    <x:row r="279">
      <x:c r="A279" s="42" t="n"/>
      <x:c r="B279" s="43" t="n"/>
      <x:c r="C279" s="43" t="n"/>
      <x:c r="D279" s="44" t="n"/>
      <x:c r="E279" s="44" t="n"/>
      <x:c r="F279" s="44" t="n"/>
      <x:c r="G279" s="44" t="n"/>
      <x:c r="H279" s="44" t="n"/>
      <x:c r="I279" s="44" t="n"/>
      <x:c r="J279" s="44" t="n"/>
      <x:c r="K279" s="44" t="n"/>
      <x:c r="L279" s="45" t="n"/>
      <x:c r="M279" s="46" t="n"/>
      <x:c r="N279" s="62">
        <x:f>IF(OR(F279="",H279="",O279="Нет"),"",IF(H279="Вратарь",IF(L279="Да",Scoring!$C$7,IF(K279=1,Scoring!$C$8,IF(K279=2,Scoring!$C$9,Scoring!$C$10)))+IF(M279="",0,M279),N(IF(I279="",0,I279)*Scoring!$C$5)+N(IF(J279="",0,J279)*Scoring!$C$6)+IF(M279="",0,M279)))</x:f>
      </x:c>
      <x:c r="O279" s="62" t="inlineStr">
        <x:is>
          <x:t xml:space="preserve">Да</x:t>
        </x:is>
      </x:c>
      <x:c r="P279" s="62" t="n"/>
    </x:row>
    <x:row r="280">
      <x:c r="A280" s="42" t="n"/>
      <x:c r="B280" s="43" t="n"/>
      <x:c r="C280" s="43" t="n"/>
      <x:c r="D280" s="44" t="n"/>
      <x:c r="E280" s="44" t="n"/>
      <x:c r="F280" s="44" t="n"/>
      <x:c r="G280" s="44" t="n"/>
      <x:c r="H280" s="44" t="n"/>
      <x:c r="I280" s="44" t="n"/>
      <x:c r="J280" s="44" t="n"/>
      <x:c r="K280" s="44" t="n"/>
      <x:c r="L280" s="45" t="n"/>
      <x:c r="M280" s="46" t="n"/>
      <x:c r="N280" s="62">
        <x:f>IF(OR(F280="",H280="",O280="Нет"),"",IF(H280="Вратарь",IF(L280="Да",Scoring!$C$7,IF(K280=1,Scoring!$C$8,IF(K280=2,Scoring!$C$9,Scoring!$C$10)))+IF(M280="",0,M280),N(IF(I280="",0,I280)*Scoring!$C$5)+N(IF(J280="",0,J280)*Scoring!$C$6)+IF(M280="",0,M280)))</x:f>
      </x:c>
      <x:c r="O280" s="62" t="inlineStr">
        <x:is>
          <x:t xml:space="preserve">Да</x:t>
        </x:is>
      </x:c>
      <x:c r="P280" s="62" t="n"/>
    </x:row>
    <x:row r="281">
      <x:c r="A281" s="42" t="n"/>
      <x:c r="B281" s="43" t="n"/>
      <x:c r="C281" s="43" t="n"/>
      <x:c r="D281" s="44" t="n"/>
      <x:c r="E281" s="44" t="n"/>
      <x:c r="F281" s="44" t="n"/>
      <x:c r="G281" s="44" t="n"/>
      <x:c r="H281" s="44" t="n"/>
      <x:c r="I281" s="44" t="n"/>
      <x:c r="J281" s="44" t="n"/>
      <x:c r="K281" s="44" t="n"/>
      <x:c r="L281" s="45" t="n"/>
      <x:c r="M281" s="46" t="n"/>
      <x:c r="N281" s="62">
        <x:f>IF(OR(F281="",H281="",O281="Нет"),"",IF(H281="Вратарь",IF(L281="Да",Scoring!$C$7,IF(K281=1,Scoring!$C$8,IF(K281=2,Scoring!$C$9,Scoring!$C$10)))+IF(M281="",0,M281),N(IF(I281="",0,I281)*Scoring!$C$5)+N(IF(J281="",0,J281)*Scoring!$C$6)+IF(M281="",0,M281)))</x:f>
      </x:c>
      <x:c r="O281" s="62" t="inlineStr">
        <x:is>
          <x:t xml:space="preserve">Да</x:t>
        </x:is>
      </x:c>
      <x:c r="P281" s="62" t="n"/>
    </x:row>
    <x:row r="282">
      <x:c r="A282" s="42" t="n"/>
      <x:c r="B282" s="43" t="n"/>
      <x:c r="C282" s="43" t="n"/>
      <x:c r="D282" s="44" t="n"/>
      <x:c r="E282" s="44" t="n"/>
      <x:c r="F282" s="44" t="n"/>
      <x:c r="G282" s="44" t="n"/>
      <x:c r="H282" s="44" t="n"/>
      <x:c r="I282" s="44" t="n"/>
      <x:c r="J282" s="44" t="n"/>
      <x:c r="K282" s="44" t="n"/>
      <x:c r="L282" s="45" t="n"/>
      <x:c r="M282" s="46" t="n"/>
      <x:c r="N282" s="62">
        <x:f>IF(OR(F282="",H282="",O282="Нет"),"",IF(H282="Вратарь",IF(L282="Да",Scoring!$C$7,IF(K282=1,Scoring!$C$8,IF(K282=2,Scoring!$C$9,Scoring!$C$10)))+IF(M282="",0,M282),N(IF(I282="",0,I282)*Scoring!$C$5)+N(IF(J282="",0,J282)*Scoring!$C$6)+IF(M282="",0,M282)))</x:f>
      </x:c>
      <x:c r="O282" s="62" t="inlineStr">
        <x:is>
          <x:t xml:space="preserve">Да</x:t>
        </x:is>
      </x:c>
      <x:c r="P282" s="62" t="n"/>
    </x:row>
    <x:row r="283">
      <x:c r="A283" s="42" t="n"/>
      <x:c r="B283" s="43" t="n"/>
      <x:c r="C283" s="43" t="n"/>
      <x:c r="D283" s="44" t="n"/>
      <x:c r="E283" s="44" t="n"/>
      <x:c r="F283" s="44" t="n"/>
      <x:c r="G283" s="44" t="n"/>
      <x:c r="H283" s="44" t="n"/>
      <x:c r="I283" s="44" t="n"/>
      <x:c r="J283" s="44" t="n"/>
      <x:c r="K283" s="44" t="n"/>
      <x:c r="L283" s="45" t="n"/>
      <x:c r="M283" s="46" t="n"/>
      <x:c r="N283" s="62">
        <x:f>IF(OR(F283="",H283="",O283="Нет"),"",IF(H283="Вратарь",IF(L283="Да",Scoring!$C$7,IF(K283=1,Scoring!$C$8,IF(K283=2,Scoring!$C$9,Scoring!$C$10)))+IF(M283="",0,M283),N(IF(I283="",0,I283)*Scoring!$C$5)+N(IF(J283="",0,J283)*Scoring!$C$6)+IF(M283="",0,M283)))</x:f>
      </x:c>
      <x:c r="O283" s="62" t="inlineStr">
        <x:is>
          <x:t xml:space="preserve">Да</x:t>
        </x:is>
      </x:c>
      <x:c r="P283" s="62" t="n"/>
    </x:row>
    <x:row r="284">
      <x:c r="A284" s="42" t="n"/>
      <x:c r="B284" s="43" t="n"/>
      <x:c r="C284" s="43" t="n"/>
      <x:c r="D284" s="44" t="n"/>
      <x:c r="E284" s="44" t="n"/>
      <x:c r="F284" s="44" t="n"/>
      <x:c r="G284" s="44" t="n"/>
      <x:c r="H284" s="44" t="n"/>
      <x:c r="I284" s="44" t="n"/>
      <x:c r="J284" s="44" t="n"/>
      <x:c r="K284" s="44" t="n"/>
      <x:c r="L284" s="45" t="n"/>
      <x:c r="M284" s="46" t="n"/>
      <x:c r="N284" s="62">
        <x:f>IF(OR(F284="",H284="",O284="Нет"),"",IF(H284="Вратарь",IF(L284="Да",Scoring!$C$7,IF(K284=1,Scoring!$C$8,IF(K284=2,Scoring!$C$9,Scoring!$C$10)))+IF(M284="",0,M284),N(IF(I284="",0,I284)*Scoring!$C$5)+N(IF(J284="",0,J284)*Scoring!$C$6)+IF(M284="",0,M284)))</x:f>
      </x:c>
      <x:c r="O284" s="62" t="inlineStr">
        <x:is>
          <x:t xml:space="preserve">Да</x:t>
        </x:is>
      </x:c>
      <x:c r="P284" s="62" t="n"/>
    </x:row>
    <x:row r="285">
      <x:c r="A285" s="42" t="n"/>
      <x:c r="B285" s="43" t="n"/>
      <x:c r="C285" s="43" t="n"/>
      <x:c r="D285" s="44" t="n"/>
      <x:c r="E285" s="44" t="n"/>
      <x:c r="F285" s="44" t="n"/>
      <x:c r="G285" s="44" t="n"/>
      <x:c r="H285" s="44" t="n"/>
      <x:c r="I285" s="44" t="n"/>
      <x:c r="J285" s="44" t="n"/>
      <x:c r="K285" s="44" t="n"/>
      <x:c r="L285" s="45" t="n"/>
      <x:c r="M285" s="46" t="n"/>
      <x:c r="N285" s="62">
        <x:f>IF(OR(F285="",H285="",O285="Нет"),"",IF(H285="Вратарь",IF(L285="Да",Scoring!$C$7,IF(K285=1,Scoring!$C$8,IF(K285=2,Scoring!$C$9,Scoring!$C$10)))+IF(M285="",0,M285),N(IF(I285="",0,I285)*Scoring!$C$5)+N(IF(J285="",0,J285)*Scoring!$C$6)+IF(M285="",0,M285)))</x:f>
      </x:c>
      <x:c r="O285" s="62" t="inlineStr">
        <x:is>
          <x:t xml:space="preserve">Да</x:t>
        </x:is>
      </x:c>
      <x:c r="P285" s="62" t="n"/>
    </x:row>
    <x:row r="286">
      <x:c r="A286" s="42" t="n"/>
      <x:c r="B286" s="43" t="n"/>
      <x:c r="C286" s="43" t="n"/>
      <x:c r="D286" s="44" t="n"/>
      <x:c r="E286" s="44" t="n"/>
      <x:c r="F286" s="44" t="n"/>
      <x:c r="G286" s="44" t="n"/>
      <x:c r="H286" s="44" t="n"/>
      <x:c r="I286" s="44" t="n"/>
      <x:c r="J286" s="44" t="n"/>
      <x:c r="K286" s="44" t="n"/>
      <x:c r="L286" s="45" t="n"/>
      <x:c r="M286" s="46" t="n"/>
      <x:c r="N286" s="62">
        <x:f>IF(OR(F286="",H286="",O286="Нет"),"",IF(H286="Вратарь",IF(L286="Да",Scoring!$C$7,IF(K286=1,Scoring!$C$8,IF(K286=2,Scoring!$C$9,Scoring!$C$10)))+IF(M286="",0,M286),N(IF(I286="",0,I286)*Scoring!$C$5)+N(IF(J286="",0,J286)*Scoring!$C$6)+IF(M286="",0,M286)))</x:f>
      </x:c>
      <x:c r="O286" s="62" t="inlineStr">
        <x:is>
          <x:t xml:space="preserve">Да</x:t>
        </x:is>
      </x:c>
      <x:c r="P286" s="62" t="n"/>
    </x:row>
    <x:row r="287">
      <x:c r="A287" s="42" t="n"/>
      <x:c r="B287" s="43" t="n"/>
      <x:c r="C287" s="43" t="n"/>
      <x:c r="D287" s="44" t="n"/>
      <x:c r="E287" s="44" t="n"/>
      <x:c r="F287" s="44" t="n"/>
      <x:c r="G287" s="44" t="n"/>
      <x:c r="H287" s="44" t="n"/>
      <x:c r="I287" s="44" t="n"/>
      <x:c r="J287" s="44" t="n"/>
      <x:c r="K287" s="44" t="n"/>
      <x:c r="L287" s="45" t="n"/>
      <x:c r="M287" s="46" t="n"/>
      <x:c r="N287" s="62">
        <x:f>IF(OR(F287="",H287="",O287="Нет"),"",IF(H287="Вратарь",IF(L287="Да",Scoring!$C$7,IF(K287=1,Scoring!$C$8,IF(K287=2,Scoring!$C$9,Scoring!$C$10)))+IF(M287="",0,M287),N(IF(I287="",0,I287)*Scoring!$C$5)+N(IF(J287="",0,J287)*Scoring!$C$6)+IF(M287="",0,M287)))</x:f>
      </x:c>
      <x:c r="O287" s="62" t="inlineStr">
        <x:is>
          <x:t xml:space="preserve">Да</x:t>
        </x:is>
      </x:c>
      <x:c r="P287" s="62" t="n"/>
    </x:row>
    <x:row r="288">
      <x:c r="A288" s="42" t="n"/>
      <x:c r="B288" s="43" t="n"/>
      <x:c r="C288" s="43" t="n"/>
      <x:c r="D288" s="44" t="n"/>
      <x:c r="E288" s="44" t="n"/>
      <x:c r="F288" s="44" t="n"/>
      <x:c r="G288" s="44" t="n"/>
      <x:c r="H288" s="44" t="n"/>
      <x:c r="I288" s="44" t="n"/>
      <x:c r="J288" s="44" t="n"/>
      <x:c r="K288" s="44" t="n"/>
      <x:c r="L288" s="45" t="n"/>
      <x:c r="M288" s="46" t="n"/>
      <x:c r="N288" s="62">
        <x:f>IF(OR(F288="",H288="",O288="Нет"),"",IF(H288="Вратарь",IF(L288="Да",Scoring!$C$7,IF(K288=1,Scoring!$C$8,IF(K288=2,Scoring!$C$9,Scoring!$C$10)))+IF(M288="",0,M288),N(IF(I288="",0,I288)*Scoring!$C$5)+N(IF(J288="",0,J288)*Scoring!$C$6)+IF(M288="",0,M288)))</x:f>
      </x:c>
      <x:c r="O288" s="62" t="inlineStr">
        <x:is>
          <x:t xml:space="preserve">Да</x:t>
        </x:is>
      </x:c>
      <x:c r="P288" s="62" t="n"/>
    </x:row>
    <x:row r="289">
      <x:c r="A289" s="42" t="n"/>
      <x:c r="B289" s="43" t="n"/>
      <x:c r="C289" s="43" t="n"/>
      <x:c r="D289" s="44" t="n"/>
      <x:c r="E289" s="44" t="n"/>
      <x:c r="F289" s="44" t="n"/>
      <x:c r="G289" s="44" t="n"/>
      <x:c r="H289" s="44" t="n"/>
      <x:c r="I289" s="44" t="n"/>
      <x:c r="J289" s="44" t="n"/>
      <x:c r="K289" s="44" t="n"/>
      <x:c r="L289" s="45" t="n"/>
      <x:c r="M289" s="46" t="n"/>
      <x:c r="N289" s="62">
        <x:f>IF(OR(F289="",H289="",O289="Нет"),"",IF(H289="Вратарь",IF(L289="Да",Scoring!$C$7,IF(K289=1,Scoring!$C$8,IF(K289=2,Scoring!$C$9,Scoring!$C$10)))+IF(M289="",0,M289),N(IF(I289="",0,I289)*Scoring!$C$5)+N(IF(J289="",0,J289)*Scoring!$C$6)+IF(M289="",0,M289)))</x:f>
      </x:c>
      <x:c r="O289" s="62" t="inlineStr">
        <x:is>
          <x:t xml:space="preserve">Да</x:t>
        </x:is>
      </x:c>
      <x:c r="P289" s="62" t="n"/>
    </x:row>
    <x:row r="290">
      <x:c r="A290" s="42" t="n"/>
      <x:c r="B290" s="43" t="n"/>
      <x:c r="C290" s="43" t="n"/>
      <x:c r="D290" s="44" t="n"/>
      <x:c r="E290" s="44" t="n"/>
      <x:c r="F290" s="44" t="n"/>
      <x:c r="G290" s="44" t="n"/>
      <x:c r="H290" s="44" t="n"/>
      <x:c r="I290" s="44" t="n"/>
      <x:c r="J290" s="44" t="n"/>
      <x:c r="K290" s="44" t="n"/>
      <x:c r="L290" s="45" t="n"/>
      <x:c r="M290" s="46" t="n"/>
      <x:c r="N290" s="62">
        <x:f>IF(OR(F290="",H290="",O290="Нет"),"",IF(H290="Вратарь",IF(L290="Да",Scoring!$C$7,IF(K290=1,Scoring!$C$8,IF(K290=2,Scoring!$C$9,Scoring!$C$10)))+IF(M290="",0,M290),N(IF(I290="",0,I290)*Scoring!$C$5)+N(IF(J290="",0,J290)*Scoring!$C$6)+IF(M290="",0,M290)))</x:f>
      </x:c>
      <x:c r="O290" s="62" t="inlineStr">
        <x:is>
          <x:t xml:space="preserve">Да</x:t>
        </x:is>
      </x:c>
      <x:c r="P290" s="62" t="n"/>
    </x:row>
    <x:row r="291">
      <x:c r="A291" s="42" t="n"/>
      <x:c r="B291" s="43" t="n"/>
      <x:c r="C291" s="43" t="n"/>
      <x:c r="D291" s="44" t="n"/>
      <x:c r="E291" s="44" t="n"/>
      <x:c r="F291" s="44" t="n"/>
      <x:c r="G291" s="44" t="n"/>
      <x:c r="H291" s="44" t="n"/>
      <x:c r="I291" s="44" t="n"/>
      <x:c r="J291" s="44" t="n"/>
      <x:c r="K291" s="44" t="n"/>
      <x:c r="L291" s="45" t="n"/>
      <x:c r="M291" s="46" t="n"/>
      <x:c r="N291" s="62">
        <x:f>IF(OR(F291="",H291="",O291="Нет"),"",IF(H291="Вратарь",IF(L291="Да",Scoring!$C$7,IF(K291=1,Scoring!$C$8,IF(K291=2,Scoring!$C$9,Scoring!$C$10)))+IF(M291="",0,M291),N(IF(I291="",0,I291)*Scoring!$C$5)+N(IF(J291="",0,J291)*Scoring!$C$6)+IF(M291="",0,M291)))</x:f>
      </x:c>
      <x:c r="O291" s="62" t="inlineStr">
        <x:is>
          <x:t xml:space="preserve">Да</x:t>
        </x:is>
      </x:c>
      <x:c r="P291" s="62" t="n"/>
    </x:row>
    <x:row r="292">
      <x:c r="A292" s="42" t="n"/>
      <x:c r="B292" s="43" t="n"/>
      <x:c r="C292" s="43" t="n"/>
      <x:c r="D292" s="44" t="n"/>
      <x:c r="E292" s="44" t="n"/>
      <x:c r="F292" s="44" t="n"/>
      <x:c r="G292" s="44" t="n"/>
      <x:c r="H292" s="44" t="n"/>
      <x:c r="I292" s="44" t="n"/>
      <x:c r="J292" s="44" t="n"/>
      <x:c r="K292" s="44" t="n"/>
      <x:c r="L292" s="45" t="n"/>
      <x:c r="M292" s="46" t="n"/>
      <x:c r="N292" s="62">
        <x:f>IF(OR(F292="",H292="",O292="Нет"),"",IF(H292="Вратарь",IF(L292="Да",Scoring!$C$7,IF(K292=1,Scoring!$C$8,IF(K292=2,Scoring!$C$9,Scoring!$C$10)))+IF(M292="",0,M292),N(IF(I292="",0,I292)*Scoring!$C$5)+N(IF(J292="",0,J292)*Scoring!$C$6)+IF(M292="",0,M292)))</x:f>
      </x:c>
      <x:c r="O292" s="62" t="inlineStr">
        <x:is>
          <x:t xml:space="preserve">Да</x:t>
        </x:is>
      </x:c>
      <x:c r="P292" s="62" t="n"/>
    </x:row>
    <x:row r="293">
      <x:c r="A293" s="42" t="n"/>
      <x:c r="B293" s="43" t="n"/>
      <x:c r="C293" s="43" t="n"/>
      <x:c r="D293" s="44" t="n"/>
      <x:c r="E293" s="44" t="n"/>
      <x:c r="F293" s="44" t="n"/>
      <x:c r="G293" s="44" t="n"/>
      <x:c r="H293" s="44" t="n"/>
      <x:c r="I293" s="44" t="n"/>
      <x:c r="J293" s="44" t="n"/>
      <x:c r="K293" s="44" t="n"/>
      <x:c r="L293" s="45" t="n"/>
      <x:c r="M293" s="46" t="n"/>
      <x:c r="N293" s="62">
        <x:f>IF(OR(F293="",H293="",O293="Нет"),"",IF(H293="Вратарь",IF(L293="Да",Scoring!$C$7,IF(K293=1,Scoring!$C$8,IF(K293=2,Scoring!$C$9,Scoring!$C$10)))+IF(M293="",0,M293),N(IF(I293="",0,I293)*Scoring!$C$5)+N(IF(J293="",0,J293)*Scoring!$C$6)+IF(M293="",0,M293)))</x:f>
      </x:c>
      <x:c r="O293" s="62" t="inlineStr">
        <x:is>
          <x:t xml:space="preserve">Да</x:t>
        </x:is>
      </x:c>
      <x:c r="P293" s="62" t="n"/>
    </x:row>
    <x:row r="294">
      <x:c r="A294" s="42" t="n"/>
      <x:c r="B294" s="43" t="n"/>
      <x:c r="C294" s="43" t="n"/>
      <x:c r="D294" s="44" t="n"/>
      <x:c r="E294" s="44" t="n"/>
      <x:c r="F294" s="44" t="n"/>
      <x:c r="G294" s="44" t="n"/>
      <x:c r="H294" s="44" t="n"/>
      <x:c r="I294" s="44" t="n"/>
      <x:c r="J294" s="44" t="n"/>
      <x:c r="K294" s="44" t="n"/>
      <x:c r="L294" s="45" t="n"/>
      <x:c r="M294" s="46" t="n"/>
      <x:c r="N294" s="62">
        <x:f>IF(OR(F294="",H294="",O294="Нет"),"",IF(H294="Вратарь",IF(L294="Да",Scoring!$C$7,IF(K294=1,Scoring!$C$8,IF(K294=2,Scoring!$C$9,Scoring!$C$10)))+IF(M294="",0,M294),N(IF(I294="",0,I294)*Scoring!$C$5)+N(IF(J294="",0,J294)*Scoring!$C$6)+IF(M294="",0,M294)))</x:f>
      </x:c>
      <x:c r="O294" s="62" t="inlineStr">
        <x:is>
          <x:t xml:space="preserve">Да</x:t>
        </x:is>
      </x:c>
      <x:c r="P294" s="62" t="n"/>
    </x:row>
    <x:row r="295">
      <x:c r="A295" s="42" t="n"/>
      <x:c r="B295" s="43" t="n"/>
      <x:c r="C295" s="43" t="n"/>
      <x:c r="D295" s="44" t="n"/>
      <x:c r="E295" s="44" t="n"/>
      <x:c r="F295" s="44" t="n"/>
      <x:c r="G295" s="44" t="n"/>
      <x:c r="H295" s="44" t="n"/>
      <x:c r="I295" s="44" t="n"/>
      <x:c r="J295" s="44" t="n"/>
      <x:c r="K295" s="44" t="n"/>
      <x:c r="L295" s="45" t="n"/>
      <x:c r="M295" s="46" t="n"/>
      <x:c r="N295" s="62">
        <x:f>IF(OR(F295="",H295="",O295="Нет"),"",IF(H295="Вратарь",IF(L295="Да",Scoring!$C$7,IF(K295=1,Scoring!$C$8,IF(K295=2,Scoring!$C$9,Scoring!$C$10)))+IF(M295="",0,M295),N(IF(I295="",0,I295)*Scoring!$C$5)+N(IF(J295="",0,J295)*Scoring!$C$6)+IF(M295="",0,M295)))</x:f>
      </x:c>
      <x:c r="O295" s="62" t="inlineStr">
        <x:is>
          <x:t xml:space="preserve">Да</x:t>
        </x:is>
      </x:c>
      <x:c r="P295" s="62" t="n"/>
    </x:row>
    <x:row r="296">
      <x:c r="A296" s="42" t="n"/>
      <x:c r="B296" s="43" t="n"/>
      <x:c r="C296" s="43" t="n"/>
      <x:c r="D296" s="44" t="n"/>
      <x:c r="E296" s="44" t="n"/>
      <x:c r="F296" s="44" t="n"/>
      <x:c r="G296" s="44" t="n"/>
      <x:c r="H296" s="44" t="n"/>
      <x:c r="I296" s="44" t="n"/>
      <x:c r="J296" s="44" t="n"/>
      <x:c r="K296" s="44" t="n"/>
      <x:c r="L296" s="45" t="n"/>
      <x:c r="M296" s="46" t="n"/>
      <x:c r="N296" s="62">
        <x:f>IF(OR(F296="",H296="",O296="Нет"),"",IF(H296="Вратарь",IF(L296="Да",Scoring!$C$7,IF(K296=1,Scoring!$C$8,IF(K296=2,Scoring!$C$9,Scoring!$C$10)))+IF(M296="",0,M296),N(IF(I296="",0,I296)*Scoring!$C$5)+N(IF(J296="",0,J296)*Scoring!$C$6)+IF(M296="",0,M296)))</x:f>
      </x:c>
      <x:c r="O296" s="62" t="inlineStr">
        <x:is>
          <x:t xml:space="preserve">Да</x:t>
        </x:is>
      </x:c>
      <x:c r="P296" s="62" t="n"/>
    </x:row>
    <x:row r="297">
      <x:c r="A297" s="42" t="n"/>
      <x:c r="B297" s="43" t="n"/>
      <x:c r="C297" s="43" t="n"/>
      <x:c r="D297" s="44" t="n"/>
      <x:c r="E297" s="44" t="n"/>
      <x:c r="F297" s="44" t="n"/>
      <x:c r="G297" s="44" t="n"/>
      <x:c r="H297" s="44" t="n"/>
      <x:c r="I297" s="44" t="n"/>
      <x:c r="J297" s="44" t="n"/>
      <x:c r="K297" s="44" t="n"/>
      <x:c r="L297" s="45" t="n"/>
      <x:c r="M297" s="46" t="n"/>
      <x:c r="N297" s="62">
        <x:f>IF(OR(F297="",H297="",O297="Нет"),"",IF(H297="Вратарь",IF(L297="Да",Scoring!$C$7,IF(K297=1,Scoring!$C$8,IF(K297=2,Scoring!$C$9,Scoring!$C$10)))+IF(M297="",0,M297),N(IF(I297="",0,I297)*Scoring!$C$5)+N(IF(J297="",0,J297)*Scoring!$C$6)+IF(M297="",0,M297)))</x:f>
      </x:c>
      <x:c r="O297" s="62" t="inlineStr">
        <x:is>
          <x:t xml:space="preserve">Да</x:t>
        </x:is>
      </x:c>
      <x:c r="P297" s="62" t="n"/>
    </x:row>
    <x:row r="298">
      <x:c r="A298" s="42" t="n"/>
      <x:c r="B298" s="43" t="n"/>
      <x:c r="C298" s="43" t="n"/>
      <x:c r="D298" s="44" t="n"/>
      <x:c r="E298" s="44" t="n"/>
      <x:c r="F298" s="44" t="n"/>
      <x:c r="G298" s="44" t="n"/>
      <x:c r="H298" s="44" t="n"/>
      <x:c r="I298" s="44" t="n"/>
      <x:c r="J298" s="44" t="n"/>
      <x:c r="K298" s="44" t="n"/>
      <x:c r="L298" s="45" t="n"/>
      <x:c r="M298" s="46" t="n"/>
      <x:c r="N298" s="62">
        <x:f>IF(OR(F298="",H298="",O298="Нет"),"",IF(H298="Вратарь",IF(L298="Да",Scoring!$C$7,IF(K298=1,Scoring!$C$8,IF(K298=2,Scoring!$C$9,Scoring!$C$10)))+IF(M298="",0,M298),N(IF(I298="",0,I298)*Scoring!$C$5)+N(IF(J298="",0,J298)*Scoring!$C$6)+IF(M298="",0,M298)))</x:f>
      </x:c>
      <x:c r="O298" s="62" t="inlineStr">
        <x:is>
          <x:t xml:space="preserve">Да</x:t>
        </x:is>
      </x:c>
      <x:c r="P298" s="62" t="n"/>
    </x:row>
    <x:row r="299">
      <x:c r="A299" s="42" t="n"/>
      <x:c r="B299" s="43" t="n"/>
      <x:c r="C299" s="43" t="n"/>
      <x:c r="D299" s="44" t="n"/>
      <x:c r="E299" s="44" t="n"/>
      <x:c r="F299" s="44" t="n"/>
      <x:c r="G299" s="44" t="n"/>
      <x:c r="H299" s="44" t="n"/>
      <x:c r="I299" s="44" t="n"/>
      <x:c r="J299" s="44" t="n"/>
      <x:c r="K299" s="44" t="n"/>
      <x:c r="L299" s="45" t="n"/>
      <x:c r="M299" s="46" t="n"/>
      <x:c r="N299" s="62">
        <x:f>IF(OR(F299="",H299="",O299="Нет"),"",IF(H299="Вратарь",IF(L299="Да",Scoring!$C$7,IF(K299=1,Scoring!$C$8,IF(K299=2,Scoring!$C$9,Scoring!$C$10)))+IF(M299="",0,M299),N(IF(I299="",0,I299)*Scoring!$C$5)+N(IF(J299="",0,J299)*Scoring!$C$6)+IF(M299="",0,M299)))</x:f>
      </x:c>
      <x:c r="O299" s="62" t="inlineStr">
        <x:is>
          <x:t xml:space="preserve">Да</x:t>
        </x:is>
      </x:c>
      <x:c r="P299" s="62" t="n"/>
    </x:row>
    <x:row r="300">
      <x:c r="A300" s="42" t="n"/>
      <x:c r="B300" s="43" t="n"/>
      <x:c r="C300" s="43" t="n"/>
      <x:c r="D300" s="44" t="n"/>
      <x:c r="E300" s="44" t="n"/>
      <x:c r="F300" s="44" t="n"/>
      <x:c r="G300" s="44" t="n"/>
      <x:c r="H300" s="44" t="n"/>
      <x:c r="I300" s="44" t="n"/>
      <x:c r="J300" s="44" t="n"/>
      <x:c r="K300" s="44" t="n"/>
      <x:c r="L300" s="45" t="n"/>
      <x:c r="M300" s="46" t="n"/>
      <x:c r="N300" s="62">
        <x:f>IF(OR(F300="",H300="",O300="Нет"),"",IF(H300="Вратарь",IF(L300="Да",Scoring!$C$7,IF(K300=1,Scoring!$C$8,IF(K300=2,Scoring!$C$9,Scoring!$C$10)))+IF(M300="",0,M300),N(IF(I300="",0,I300)*Scoring!$C$5)+N(IF(J300="",0,J300)*Scoring!$C$6)+IF(M300="",0,M300)))</x:f>
      </x:c>
      <x:c r="O300" s="62" t="inlineStr">
        <x:is>
          <x:t xml:space="preserve">Да</x:t>
        </x:is>
      </x:c>
      <x:c r="P300" s="62" t="n"/>
    </x:row>
    <x:row r="301">
      <x:c r="A301" s="42" t="n"/>
      <x:c r="B301" s="43" t="n"/>
      <x:c r="C301" s="43" t="n"/>
      <x:c r="D301" s="44" t="n"/>
      <x:c r="E301" s="44" t="n"/>
      <x:c r="F301" s="44" t="n"/>
      <x:c r="G301" s="44" t="n"/>
      <x:c r="H301" s="44" t="n"/>
      <x:c r="I301" s="44" t="n"/>
      <x:c r="J301" s="44" t="n"/>
      <x:c r="K301" s="44" t="n"/>
      <x:c r="L301" s="45" t="n"/>
      <x:c r="M301" s="46" t="n"/>
      <x:c r="N301" s="62">
        <x:f>IF(OR(F301="",H301="",O301="Нет"),"",IF(H301="Вратарь",IF(L301="Да",Scoring!$C$7,IF(K301=1,Scoring!$C$8,IF(K301=2,Scoring!$C$9,Scoring!$C$10)))+IF(M301="",0,M301),N(IF(I301="",0,I301)*Scoring!$C$5)+N(IF(J301="",0,J301)*Scoring!$C$6)+IF(M301="",0,M301)))</x:f>
      </x:c>
      <x:c r="O301" s="62" t="inlineStr">
        <x:is>
          <x:t xml:space="preserve">Да</x:t>
        </x:is>
      </x:c>
      <x:c r="P301" s="62" t="n"/>
    </x:row>
    <x:row r="302">
      <x:c r="A302" s="42" t="n"/>
      <x:c r="B302" s="43" t="n"/>
      <x:c r="C302" s="43" t="n"/>
      <x:c r="D302" s="44" t="n"/>
      <x:c r="E302" s="44" t="n"/>
      <x:c r="F302" s="44" t="n"/>
      <x:c r="G302" s="44" t="n"/>
      <x:c r="H302" s="44" t="n"/>
      <x:c r="I302" s="44" t="n"/>
      <x:c r="J302" s="44" t="n"/>
      <x:c r="K302" s="44" t="n"/>
      <x:c r="L302" s="45" t="n"/>
      <x:c r="M302" s="46" t="n"/>
      <x:c r="N302" s="62">
        <x:f>IF(OR(F302="",H302="",O302="Нет"),"",IF(H302="Вратарь",IF(L302="Да",Scoring!$C$7,IF(K302=1,Scoring!$C$8,IF(K302=2,Scoring!$C$9,Scoring!$C$10)))+IF(M302="",0,M302),N(IF(I302="",0,I302)*Scoring!$C$5)+N(IF(J302="",0,J302)*Scoring!$C$6)+IF(M302="",0,M302)))</x:f>
      </x:c>
      <x:c r="O302" s="62" t="inlineStr">
        <x:is>
          <x:t xml:space="preserve">Да</x:t>
        </x:is>
      </x:c>
      <x:c r="P302" s="62" t="n"/>
    </x:row>
    <x:row r="303">
      <x:c r="A303" s="42" t="n"/>
      <x:c r="B303" s="43" t="n"/>
      <x:c r="C303" s="43" t="n"/>
      <x:c r="D303" s="44" t="n"/>
      <x:c r="E303" s="44" t="n"/>
      <x:c r="F303" s="44" t="n"/>
      <x:c r="G303" s="44" t="n"/>
      <x:c r="H303" s="44" t="n"/>
      <x:c r="I303" s="44" t="n"/>
      <x:c r="J303" s="44" t="n"/>
      <x:c r="K303" s="44" t="n"/>
      <x:c r="L303" s="45" t="n"/>
      <x:c r="M303" s="46" t="n"/>
      <x:c r="N303" s="62">
        <x:f>IF(OR(F303="",H303="",O303="Нет"),"",IF(H303="Вратарь",IF(L303="Да",Scoring!$C$7,IF(K303=1,Scoring!$C$8,IF(K303=2,Scoring!$C$9,Scoring!$C$10)))+IF(M303="",0,M303),N(IF(I303="",0,I303)*Scoring!$C$5)+N(IF(J303="",0,J303)*Scoring!$C$6)+IF(M303="",0,M303)))</x:f>
      </x:c>
      <x:c r="O303" s="62" t="inlineStr">
        <x:is>
          <x:t xml:space="preserve">Да</x:t>
        </x:is>
      </x:c>
      <x:c r="P303" s="62" t="n"/>
    </x:row>
    <x:row r="304">
      <x:c r="A304" s="42" t="n"/>
      <x:c r="B304" s="43" t="n"/>
      <x:c r="C304" s="43" t="n"/>
      <x:c r="D304" s="44" t="n"/>
      <x:c r="E304" s="44" t="n"/>
      <x:c r="F304" s="44" t="n"/>
      <x:c r="G304" s="44" t="n"/>
      <x:c r="H304" s="44" t="n"/>
      <x:c r="I304" s="44" t="n"/>
      <x:c r="J304" s="44" t="n"/>
      <x:c r="K304" s="44" t="n"/>
      <x:c r="L304" s="45" t="n"/>
      <x:c r="M304" s="46" t="n"/>
      <x:c r="N304" s="62">
        <x:f>IF(OR(F304="",H304="",O304="Нет"),"",IF(H304="Вратарь",IF(L304="Да",Scoring!$C$7,IF(K304=1,Scoring!$C$8,IF(K304=2,Scoring!$C$9,Scoring!$C$10)))+IF(M304="",0,M304),N(IF(I304="",0,I304)*Scoring!$C$5)+N(IF(J304="",0,J304)*Scoring!$C$6)+IF(M304="",0,M304)))</x:f>
      </x:c>
      <x:c r="O304" s="62" t="inlineStr">
        <x:is>
          <x:t xml:space="preserve">Да</x:t>
        </x:is>
      </x:c>
      <x:c r="P304" s="62" t="n"/>
    </x:row>
    <x:row r="305">
      <x:c r="A305" s="42" t="n"/>
      <x:c r="B305" s="43" t="n"/>
      <x:c r="C305" s="43" t="n"/>
      <x:c r="D305" s="44" t="n"/>
      <x:c r="E305" s="44" t="n"/>
      <x:c r="F305" s="44" t="n"/>
      <x:c r="G305" s="44" t="n"/>
      <x:c r="H305" s="44" t="n"/>
      <x:c r="I305" s="44" t="n"/>
      <x:c r="J305" s="44" t="n"/>
      <x:c r="K305" s="44" t="n"/>
      <x:c r="L305" s="45" t="n"/>
      <x:c r="M305" s="46" t="n"/>
      <x:c r="N305" s="62">
        <x:f>IF(OR(F305="",H305="",O305="Нет"),"",IF(H305="Вратарь",IF(L305="Да",Scoring!$C$7,IF(K305=1,Scoring!$C$8,IF(K305=2,Scoring!$C$9,Scoring!$C$10)))+IF(M305="",0,M305),N(IF(I305="",0,I305)*Scoring!$C$5)+N(IF(J305="",0,J305)*Scoring!$C$6)+IF(M305="",0,M305)))</x:f>
      </x:c>
      <x:c r="O305" s="62" t="inlineStr">
        <x:is>
          <x:t xml:space="preserve">Да</x:t>
        </x:is>
      </x:c>
      <x:c r="P305" s="62" t="n"/>
    </x:row>
  </x:sheetData>
  <x:dataValidations count="4">
    <x:dataValidation type="list" allowBlank="1" showDropDown="0" showInputMessage="0" showErrorMessage="0" sqref="B6:B305">
      <x:formula1>=Lists!$B$3:$B$4</x:formula1>
    </x:dataValidation>
    <x:dataValidation type="list" allowBlank="1" showDropDown="0" showInputMessage="0" showErrorMessage="0" sqref="D6:D305">
      <x:formula1>=Lists!$A$3:$A$16</x:formula1>
    </x:dataValidation>
    <x:dataValidation type="list" allowBlank="1" showDropDown="0" showInputMessage="0" showErrorMessage="0" sqref="H6:H305">
      <x:formula1>=Lists!$C$3:$C$5</x:formula1>
    </x:dataValidation>
    <x:dataValidation type="list" allowBlank="1" showDropDown="0" showInputMessage="0" showErrorMessage="0" sqref="L6:L305 O6:O305">
      <x:formula1>=Lists!$D$3:$D$4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4" customWidth="1"/>
    <x:col min="3" max="3" width="18" customWidth="1"/>
    <x:col min="4" max="4" width="22" customWidth="1"/>
    <x:col min="5" max="5" width="18" customWidth="1"/>
    <x:col min="6" max="6" width="10" customWidth="1"/>
    <x:col min="7" max="7" width="12" customWidth="1"/>
    <x:col min="8" max="8" width="12" customWidth="1"/>
    <x:col min="9" max="9" width="13" customWidth="1"/>
    <x:col min="10" max="10" width="13" customWidth="1"/>
    <x:col min="11" max="11" width="13" customWidth="1"/>
    <x:col min="12" max="12" width="11" customWidth="1"/>
    <x:col min="13" max="13" width="22" customWidth="1"/>
  </x:cols>
  <x:sheetData>
    <x:row r="1" ht="24" customHeight="1">
      <x:c r="A1" s="26" t="inlineStr">
        <x:is>
          <x:t xml:space="preserve">Ввод новых туров</x:t>
        </x:is>
      </x:c>
    </x:row>
    <x:row r="2" ht="34" customHeight="1">
      <x:c r="A2" s="35" t="inlineStr">
        <x:is>
          <x:t xml:space="preserve">Заполняй по одной строке на одного участника за один тур. Вноси очки по слотам состава; итог тура посчитается автоматически.</x:t>
        </x:is>
      </x:c>
    </x:row>
    <x:row r="3" ht="34" customHeight="1">
      <x:c r="A3" s="41" t="inlineStr">
        <x:is>
          <x:t xml:space="preserve">Если решишь заносить историю с нуля: сначала обнули стартовые очки на листе BaseTotals, затем заполняй этот лист всеми турами.</x:t>
        </x:is>
      </x:c>
    </x:row>
    <x:row r="5">
      <x:c r="A5" s="28" t="inlineStr">
        <x:is>
          <x:t xml:space="preserve">Дата</x:t>
        </x:is>
      </x:c>
      <x:c r="B5" s="28" t="inlineStr">
        <x:is>
          <x:t xml:space="preserve">Этап</x:t>
        </x:is>
      </x:c>
      <x:c r="C5" s="28" t="inlineStr">
        <x:is>
          <x:t xml:space="preserve">Раунд</x:t>
        </x:is>
      </x:c>
      <x:c r="D5" s="28" t="inlineStr">
        <x:is>
          <x:t xml:space="preserve">Участник</x:t>
        </x:is>
      </x:c>
      <x:c r="E5" s="28" t="inlineStr">
        <x:is>
          <x:t xml:space="preserve">Команда участника</x:t>
        </x:is>
      </x:c>
      <x:c r="F5" s="28" t="inlineStr">
        <x:is>
          <x:t xml:space="preserve">Вратарь</x:t>
        </x:is>
      </x:c>
      <x:c r="G5" s="28" t="inlineStr">
        <x:is>
          <x:t xml:space="preserve">Защитник 1</x:t>
        </x:is>
      </x:c>
      <x:c r="H5" s="28" t="inlineStr">
        <x:is>
          <x:t xml:space="preserve">Защитник 2</x:t>
        </x:is>
      </x:c>
      <x:c r="I5" s="28" t="inlineStr">
        <x:is>
          <x:t xml:space="preserve">Нападающий 1</x:t>
        </x:is>
      </x:c>
      <x:c r="J5" s="28" t="inlineStr">
        <x:is>
          <x:t xml:space="preserve">Нападающий 2</x:t>
        </x:is>
      </x:c>
      <x:c r="K5" s="28" t="inlineStr">
        <x:is>
          <x:t xml:space="preserve">Нападающий 3</x:t>
        </x:is>
      </x:c>
      <x:c r="L5" s="28" t="inlineStr">
        <x:is>
          <x:t xml:space="preserve">Очки тура</x:t>
        </x:is>
      </x:c>
      <x:c r="M5" s="28" t="inlineStr">
        <x:is>
          <x:t xml:space="preserve">Комментарий</x:t>
        </x:is>
      </x:c>
    </x:row>
    <x:row r="6">
      <x:c r="A6" s="42" t="n"/>
      <x:c r="B6" s="43" t="n"/>
      <x:c r="C6" s="43" t="n"/>
      <x:c r="D6" s="44" t="n"/>
      <x:c r="E6" s="44" t="n"/>
      <x:c r="F6" s="44" t="n"/>
      <x:c r="G6" s="44" t="n"/>
      <x:c r="H6" s="44" t="n"/>
      <x:c r="I6" s="44" t="n"/>
      <x:c r="J6" s="44" t="n"/>
      <x:c r="K6" s="44" t="n"/>
      <x:c r="L6" s="45">
        <x:f>IF(COUNTA(F6:K6)=0,"",SUM(F6:K6))</x:f>
      </x:c>
      <x:c r="M6" s="46" t="n"/>
    </x:row>
    <x:row r="7">
      <x:c r="A7" s="42" t="n"/>
      <x:c r="B7" s="43" t="n"/>
      <x:c r="C7" s="43" t="n"/>
      <x:c r="D7" s="44" t="n"/>
      <x:c r="E7" s="44" t="n"/>
      <x:c r="F7" s="44" t="n"/>
      <x:c r="G7" s="44" t="n"/>
      <x:c r="H7" s="44" t="n"/>
      <x:c r="I7" s="44" t="n"/>
      <x:c r="J7" s="44" t="n"/>
      <x:c r="K7" s="44" t="n"/>
      <x:c r="L7" s="45">
        <x:f>IF(COUNTA(F7:K7)=0,"",SUM(F7:K7))</x:f>
      </x:c>
      <x:c r="M7" s="46" t="n"/>
    </x:row>
    <x:row r="8">
      <x:c r="A8" s="42" t="n"/>
      <x:c r="B8" s="43" t="n"/>
      <x:c r="C8" s="43" t="n"/>
      <x:c r="D8" s="44" t="n"/>
      <x:c r="E8" s="44" t="n"/>
      <x:c r="F8" s="44" t="n"/>
      <x:c r="G8" s="44" t="n"/>
      <x:c r="H8" s="44" t="n"/>
      <x:c r="I8" s="44" t="n"/>
      <x:c r="J8" s="44" t="n"/>
      <x:c r="K8" s="44" t="n"/>
      <x:c r="L8" s="45">
        <x:f>IF(COUNTA(F8:K8)=0,"",SUM(F8:K8))</x:f>
      </x:c>
      <x:c r="M8" s="46" t="n"/>
    </x:row>
    <x:row r="9">
      <x:c r="A9" s="42" t="n"/>
      <x:c r="B9" s="43" t="n"/>
      <x:c r="C9" s="43" t="n"/>
      <x:c r="D9" s="44" t="n"/>
      <x:c r="E9" s="44" t="n"/>
      <x:c r="F9" s="44" t="n"/>
      <x:c r="G9" s="44" t="n"/>
      <x:c r="H9" s="44" t="n"/>
      <x:c r="I9" s="44" t="n"/>
      <x:c r="J9" s="44" t="n"/>
      <x:c r="K9" s="44" t="n"/>
      <x:c r="L9" s="45">
        <x:f>IF(COUNTA(F9:K9)=0,"",SUM(F9:K9))</x:f>
      </x:c>
      <x:c r="M9" s="46" t="n"/>
    </x:row>
    <x:row r="10">
      <x:c r="A10" s="42" t="n"/>
      <x:c r="B10" s="43" t="n"/>
      <x:c r="C10" s="43" t="n"/>
      <x:c r="D10" s="44" t="n"/>
      <x:c r="E10" s="44" t="n"/>
      <x:c r="F10" s="44" t="n"/>
      <x:c r="G10" s="44" t="n"/>
      <x:c r="H10" s="44" t="n"/>
      <x:c r="I10" s="44" t="n"/>
      <x:c r="J10" s="44" t="n"/>
      <x:c r="K10" s="44" t="n"/>
      <x:c r="L10" s="45">
        <x:f>IF(COUNTA(F10:K10)=0,"",SUM(F10:K10))</x:f>
      </x:c>
      <x:c r="M10" s="46" t="n"/>
    </x:row>
    <x:row r="11">
      <x:c r="A11" s="42" t="n"/>
      <x:c r="B11" s="43" t="n"/>
      <x:c r="C11" s="43" t="n"/>
      <x:c r="D11" s="44" t="n"/>
      <x:c r="E11" s="44" t="n"/>
      <x:c r="F11" s="44" t="n"/>
      <x:c r="G11" s="44" t="n"/>
      <x:c r="H11" s="44" t="n"/>
      <x:c r="I11" s="44" t="n"/>
      <x:c r="J11" s="44" t="n"/>
      <x:c r="K11" s="44" t="n"/>
      <x:c r="L11" s="45">
        <x:f>IF(COUNTA(F11:K11)=0,"",SUM(F11:K11))</x:f>
      </x:c>
      <x:c r="M11" s="46" t="n"/>
    </x:row>
    <x:row r="12">
      <x:c r="A12" s="42" t="n"/>
      <x:c r="B12" s="43" t="n"/>
      <x:c r="C12" s="43" t="n"/>
      <x:c r="D12" s="44" t="n"/>
      <x:c r="E12" s="44" t="n"/>
      <x:c r="F12" s="44" t="n"/>
      <x:c r="G12" s="44" t="n"/>
      <x:c r="H12" s="44" t="n"/>
      <x:c r="I12" s="44" t="n"/>
      <x:c r="J12" s="44" t="n"/>
      <x:c r="K12" s="44" t="n"/>
      <x:c r="L12" s="45">
        <x:f>IF(COUNTA(F12:K12)=0,"",SUM(F12:K12))</x:f>
      </x:c>
      <x:c r="M12" s="46" t="n"/>
    </x:row>
    <x:row r="13">
      <x:c r="A13" s="42" t="n"/>
      <x:c r="B13" s="43" t="n"/>
      <x:c r="C13" s="43" t="n"/>
      <x:c r="D13" s="44" t="n"/>
      <x:c r="E13" s="44" t="n"/>
      <x:c r="F13" s="44" t="n"/>
      <x:c r="G13" s="44" t="n"/>
      <x:c r="H13" s="44" t="n"/>
      <x:c r="I13" s="44" t="n"/>
      <x:c r="J13" s="44" t="n"/>
      <x:c r="K13" s="44" t="n"/>
      <x:c r="L13" s="45">
        <x:f>IF(COUNTA(F13:K13)=0,"",SUM(F13:K13))</x:f>
      </x:c>
      <x:c r="M13" s="46" t="n"/>
    </x:row>
    <x:row r="14">
      <x:c r="A14" s="42" t="n"/>
      <x:c r="B14" s="43" t="n"/>
      <x:c r="C14" s="43" t="n"/>
      <x:c r="D14" s="44" t="n"/>
      <x:c r="E14" s="44" t="n"/>
      <x:c r="F14" s="44" t="n"/>
      <x:c r="G14" s="44" t="n"/>
      <x:c r="H14" s="44" t="n"/>
      <x:c r="I14" s="44" t="n"/>
      <x:c r="J14" s="44" t="n"/>
      <x:c r="K14" s="44" t="n"/>
      <x:c r="L14" s="45">
        <x:f>IF(COUNTA(F14:K14)=0,"",SUM(F14:K14))</x:f>
      </x:c>
      <x:c r="M14" s="46" t="n"/>
    </x:row>
    <x:row r="15">
      <x:c r="A15" s="42" t="n"/>
      <x:c r="B15" s="43" t="n"/>
      <x:c r="C15" s="43" t="n"/>
      <x:c r="D15" s="44" t="n"/>
      <x:c r="E15" s="44" t="n"/>
      <x:c r="F15" s="44" t="n"/>
      <x:c r="G15" s="44" t="n"/>
      <x:c r="H15" s="44" t="n"/>
      <x:c r="I15" s="44" t="n"/>
      <x:c r="J15" s="44" t="n"/>
      <x:c r="K15" s="44" t="n"/>
      <x:c r="L15" s="45">
        <x:f>IF(COUNTA(F15:K15)=0,"",SUM(F15:K15))</x:f>
      </x:c>
      <x:c r="M15" s="46" t="n"/>
    </x:row>
    <x:row r="16">
      <x:c r="A16" s="42" t="n"/>
      <x:c r="B16" s="43" t="n"/>
      <x:c r="C16" s="43" t="n"/>
      <x:c r="D16" s="44" t="n"/>
      <x:c r="E16" s="44" t="n"/>
      <x:c r="F16" s="44" t="n"/>
      <x:c r="G16" s="44" t="n"/>
      <x:c r="H16" s="44" t="n"/>
      <x:c r="I16" s="44" t="n"/>
      <x:c r="J16" s="44" t="n"/>
      <x:c r="K16" s="44" t="n"/>
      <x:c r="L16" s="45">
        <x:f>IF(COUNTA(F16:K16)=0,"",SUM(F16:K16))</x:f>
      </x:c>
      <x:c r="M16" s="46" t="n"/>
    </x:row>
    <x:row r="17">
      <x:c r="A17" s="42" t="n"/>
      <x:c r="B17" s="43" t="n"/>
      <x:c r="C17" s="43" t="n"/>
      <x:c r="D17" s="44" t="n"/>
      <x:c r="E17" s="44" t="n"/>
      <x:c r="F17" s="44" t="n"/>
      <x:c r="G17" s="44" t="n"/>
      <x:c r="H17" s="44" t="n"/>
      <x:c r="I17" s="44" t="n"/>
      <x:c r="J17" s="44" t="n"/>
      <x:c r="K17" s="44" t="n"/>
      <x:c r="L17" s="45">
        <x:f>IF(COUNTA(F17:K17)=0,"",SUM(F17:K17))</x:f>
      </x:c>
      <x:c r="M17" s="46" t="n"/>
    </x:row>
    <x:row r="18">
      <x:c r="A18" s="42" t="n"/>
      <x:c r="B18" s="43" t="n"/>
      <x:c r="C18" s="43" t="n"/>
      <x:c r="D18" s="44" t="n"/>
      <x:c r="E18" s="44" t="n"/>
      <x:c r="F18" s="44" t="n"/>
      <x:c r="G18" s="44" t="n"/>
      <x:c r="H18" s="44" t="n"/>
      <x:c r="I18" s="44" t="n"/>
      <x:c r="J18" s="44" t="n"/>
      <x:c r="K18" s="44" t="n"/>
      <x:c r="L18" s="45">
        <x:f>IF(COUNTA(F18:K18)=0,"",SUM(F18:K18))</x:f>
      </x:c>
      <x:c r="M18" s="46" t="n"/>
    </x:row>
    <x:row r="19">
      <x:c r="A19" s="42" t="n"/>
      <x:c r="B19" s="43" t="n"/>
      <x:c r="C19" s="43" t="n"/>
      <x:c r="D19" s="44" t="n"/>
      <x:c r="E19" s="44" t="n"/>
      <x:c r="F19" s="44" t="n"/>
      <x:c r="G19" s="44" t="n"/>
      <x:c r="H19" s="44" t="n"/>
      <x:c r="I19" s="44" t="n"/>
      <x:c r="J19" s="44" t="n"/>
      <x:c r="K19" s="44" t="n"/>
      <x:c r="L19" s="45">
        <x:f>IF(COUNTA(F19:K19)=0,"",SUM(F19:K19))</x:f>
      </x:c>
      <x:c r="M19" s="46" t="n"/>
    </x:row>
    <x:row r="20">
      <x:c r="A20" s="42" t="n"/>
      <x:c r="B20" s="43" t="n"/>
      <x:c r="C20" s="43" t="n"/>
      <x:c r="D20" s="44" t="n"/>
      <x:c r="E20" s="44" t="n"/>
      <x:c r="F20" s="44" t="n"/>
      <x:c r="G20" s="44" t="n"/>
      <x:c r="H20" s="44" t="n"/>
      <x:c r="I20" s="44" t="n"/>
      <x:c r="J20" s="44" t="n"/>
      <x:c r="K20" s="44" t="n"/>
      <x:c r="L20" s="45">
        <x:f>IF(COUNTA(F20:K20)=0,"",SUM(F20:K20))</x:f>
      </x:c>
      <x:c r="M20" s="46" t="n"/>
    </x:row>
    <x:row r="21">
      <x:c r="A21" s="42" t="n"/>
      <x:c r="B21" s="43" t="n"/>
      <x:c r="C21" s="43" t="n"/>
      <x:c r="D21" s="44" t="n"/>
      <x:c r="E21" s="44" t="n"/>
      <x:c r="F21" s="44" t="n"/>
      <x:c r="G21" s="44" t="n"/>
      <x:c r="H21" s="44" t="n"/>
      <x:c r="I21" s="44" t="n"/>
      <x:c r="J21" s="44" t="n"/>
      <x:c r="K21" s="44" t="n"/>
      <x:c r="L21" s="45">
        <x:f>IF(COUNTA(F21:K21)=0,"",SUM(F21:K21))</x:f>
      </x:c>
      <x:c r="M21" s="46" t="n"/>
    </x:row>
    <x:row r="22">
      <x:c r="A22" s="42" t="n"/>
      <x:c r="B22" s="43" t="n"/>
      <x:c r="C22" s="43" t="n"/>
      <x:c r="D22" s="44" t="n"/>
      <x:c r="E22" s="44" t="n"/>
      <x:c r="F22" s="44" t="n"/>
      <x:c r="G22" s="44" t="n"/>
      <x:c r="H22" s="44" t="n"/>
      <x:c r="I22" s="44" t="n"/>
      <x:c r="J22" s="44" t="n"/>
      <x:c r="K22" s="44" t="n"/>
      <x:c r="L22" s="45">
        <x:f>IF(COUNTA(F22:K22)=0,"",SUM(F22:K22))</x:f>
      </x:c>
      <x:c r="M22" s="46" t="n"/>
    </x:row>
    <x:row r="23">
      <x:c r="A23" s="42" t="n"/>
      <x:c r="B23" s="43" t="n"/>
      <x:c r="C23" s="43" t="n"/>
      <x:c r="D23" s="44" t="n"/>
      <x:c r="E23" s="44" t="n"/>
      <x:c r="F23" s="44" t="n"/>
      <x:c r="G23" s="44" t="n"/>
      <x:c r="H23" s="44" t="n"/>
      <x:c r="I23" s="44" t="n"/>
      <x:c r="J23" s="44" t="n"/>
      <x:c r="K23" s="44" t="n"/>
      <x:c r="L23" s="45">
        <x:f>IF(COUNTA(F23:K23)=0,"",SUM(F23:K23))</x:f>
      </x:c>
      <x:c r="M23" s="46" t="n"/>
    </x:row>
    <x:row r="24">
      <x:c r="A24" s="42" t="n"/>
      <x:c r="B24" s="43" t="n"/>
      <x:c r="C24" s="43" t="n"/>
      <x:c r="D24" s="44" t="n"/>
      <x:c r="E24" s="44" t="n"/>
      <x:c r="F24" s="44" t="n"/>
      <x:c r="G24" s="44" t="n"/>
      <x:c r="H24" s="44" t="n"/>
      <x:c r="I24" s="44" t="n"/>
      <x:c r="J24" s="44" t="n"/>
      <x:c r="K24" s="44" t="n"/>
      <x:c r="L24" s="45">
        <x:f>IF(COUNTA(F24:K24)=0,"",SUM(F24:K24))</x:f>
      </x:c>
      <x:c r="M24" s="46" t="n"/>
    </x:row>
    <x:row r="25">
      <x:c r="A25" s="42" t="n"/>
      <x:c r="B25" s="43" t="n"/>
      <x:c r="C25" s="43" t="n"/>
      <x:c r="D25" s="44" t="n"/>
      <x:c r="E25" s="44" t="n"/>
      <x:c r="F25" s="44" t="n"/>
      <x:c r="G25" s="44" t="n"/>
      <x:c r="H25" s="44" t="n"/>
      <x:c r="I25" s="44" t="n"/>
      <x:c r="J25" s="44" t="n"/>
      <x:c r="K25" s="44" t="n"/>
      <x:c r="L25" s="45">
        <x:f>IF(COUNTA(F25:K25)=0,"",SUM(F25:K25))</x:f>
      </x:c>
      <x:c r="M25" s="46" t="n"/>
    </x:row>
    <x:row r="26">
      <x:c r="A26" s="42" t="n"/>
      <x:c r="B26" s="43" t="n"/>
      <x:c r="C26" s="43" t="n"/>
      <x:c r="D26" s="44" t="n"/>
      <x:c r="E26" s="44" t="n"/>
      <x:c r="F26" s="44" t="n"/>
      <x:c r="G26" s="44" t="n"/>
      <x:c r="H26" s="44" t="n"/>
      <x:c r="I26" s="44" t="n"/>
      <x:c r="J26" s="44" t="n"/>
      <x:c r="K26" s="44" t="n"/>
      <x:c r="L26" s="45">
        <x:f>IF(COUNTA(F26:K26)=0,"",SUM(F26:K26))</x:f>
      </x:c>
      <x:c r="M26" s="46" t="n"/>
    </x:row>
    <x:row r="27">
      <x:c r="A27" s="42" t="n"/>
      <x:c r="B27" s="43" t="n"/>
      <x:c r="C27" s="43" t="n"/>
      <x:c r="D27" s="44" t="n"/>
      <x:c r="E27" s="44" t="n"/>
      <x:c r="F27" s="44" t="n"/>
      <x:c r="G27" s="44" t="n"/>
      <x:c r="H27" s="44" t="n"/>
      <x:c r="I27" s="44" t="n"/>
      <x:c r="J27" s="44" t="n"/>
      <x:c r="K27" s="44" t="n"/>
      <x:c r="L27" s="45">
        <x:f>IF(COUNTA(F27:K27)=0,"",SUM(F27:K27))</x:f>
      </x:c>
      <x:c r="M27" s="46" t="n"/>
    </x:row>
    <x:row r="28">
      <x:c r="A28" s="42" t="n"/>
      <x:c r="B28" s="43" t="n"/>
      <x:c r="C28" s="43" t="n"/>
      <x:c r="D28" s="44" t="n"/>
      <x:c r="E28" s="44" t="n"/>
      <x:c r="F28" s="44" t="n"/>
      <x:c r="G28" s="44" t="n"/>
      <x:c r="H28" s="44" t="n"/>
      <x:c r="I28" s="44" t="n"/>
      <x:c r="J28" s="44" t="n"/>
      <x:c r="K28" s="44" t="n"/>
      <x:c r="L28" s="45">
        <x:f>IF(COUNTA(F28:K28)=0,"",SUM(F28:K28))</x:f>
      </x:c>
      <x:c r="M28" s="46" t="n"/>
    </x:row>
    <x:row r="29">
      <x:c r="A29" s="42" t="n"/>
      <x:c r="B29" s="43" t="n"/>
      <x:c r="C29" s="43" t="n"/>
      <x:c r="D29" s="44" t="n"/>
      <x:c r="E29" s="44" t="n"/>
      <x:c r="F29" s="44" t="n"/>
      <x:c r="G29" s="44" t="n"/>
      <x:c r="H29" s="44" t="n"/>
      <x:c r="I29" s="44" t="n"/>
      <x:c r="J29" s="44" t="n"/>
      <x:c r="K29" s="44" t="n"/>
      <x:c r="L29" s="45">
        <x:f>IF(COUNTA(F29:K29)=0,"",SUM(F29:K29))</x:f>
      </x:c>
      <x:c r="M29" s="46" t="n"/>
    </x:row>
    <x:row r="30">
      <x:c r="A30" s="42" t="n"/>
      <x:c r="B30" s="43" t="n"/>
      <x:c r="C30" s="43" t="n"/>
      <x:c r="D30" s="44" t="n"/>
      <x:c r="E30" s="44" t="n"/>
      <x:c r="F30" s="44" t="n"/>
      <x:c r="G30" s="44" t="n"/>
      <x:c r="H30" s="44" t="n"/>
      <x:c r="I30" s="44" t="n"/>
      <x:c r="J30" s="44" t="n"/>
      <x:c r="K30" s="44" t="n"/>
      <x:c r="L30" s="45">
        <x:f>IF(COUNTA(F30:K30)=0,"",SUM(F30:K30))</x:f>
      </x:c>
      <x:c r="M30" s="46" t="n"/>
    </x:row>
    <x:row r="31">
      <x:c r="A31" s="42" t="n"/>
      <x:c r="B31" s="43" t="n"/>
      <x:c r="C31" s="43" t="n"/>
      <x:c r="D31" s="44" t="n"/>
      <x:c r="E31" s="44" t="n"/>
      <x:c r="F31" s="44" t="n"/>
      <x:c r="G31" s="44" t="n"/>
      <x:c r="H31" s="44" t="n"/>
      <x:c r="I31" s="44" t="n"/>
      <x:c r="J31" s="44" t="n"/>
      <x:c r="K31" s="44" t="n"/>
      <x:c r="L31" s="45">
        <x:f>IF(COUNTA(F31:K31)=0,"",SUM(F31:K31))</x:f>
      </x:c>
      <x:c r="M31" s="46" t="n"/>
    </x:row>
    <x:row r="32">
      <x:c r="A32" s="42" t="n"/>
      <x:c r="B32" s="43" t="n"/>
      <x:c r="C32" s="43" t="n"/>
      <x:c r="D32" s="44" t="n"/>
      <x:c r="E32" s="44" t="n"/>
      <x:c r="F32" s="44" t="n"/>
      <x:c r="G32" s="44" t="n"/>
      <x:c r="H32" s="44" t="n"/>
      <x:c r="I32" s="44" t="n"/>
      <x:c r="J32" s="44" t="n"/>
      <x:c r="K32" s="44" t="n"/>
      <x:c r="L32" s="45">
        <x:f>IF(COUNTA(F32:K32)=0,"",SUM(F32:K32))</x:f>
      </x:c>
      <x:c r="M32" s="46" t="n"/>
    </x:row>
    <x:row r="33">
      <x:c r="A33" s="42" t="n"/>
      <x:c r="B33" s="43" t="n"/>
      <x:c r="C33" s="43" t="n"/>
      <x:c r="D33" s="44" t="n"/>
      <x:c r="E33" s="44" t="n"/>
      <x:c r="F33" s="44" t="n"/>
      <x:c r="G33" s="44" t="n"/>
      <x:c r="H33" s="44" t="n"/>
      <x:c r="I33" s="44" t="n"/>
      <x:c r="J33" s="44" t="n"/>
      <x:c r="K33" s="44" t="n"/>
      <x:c r="L33" s="45">
        <x:f>IF(COUNTA(F33:K33)=0,"",SUM(F33:K33))</x:f>
      </x:c>
      <x:c r="M33" s="46" t="n"/>
    </x:row>
    <x:row r="34">
      <x:c r="A34" s="42" t="n"/>
      <x:c r="B34" s="43" t="n"/>
      <x:c r="C34" s="43" t="n"/>
      <x:c r="D34" s="44" t="n"/>
      <x:c r="E34" s="44" t="n"/>
      <x:c r="F34" s="44" t="n"/>
      <x:c r="G34" s="44" t="n"/>
      <x:c r="H34" s="44" t="n"/>
      <x:c r="I34" s="44" t="n"/>
      <x:c r="J34" s="44" t="n"/>
      <x:c r="K34" s="44" t="n"/>
      <x:c r="L34" s="45">
        <x:f>IF(COUNTA(F34:K34)=0,"",SUM(F34:K34))</x:f>
      </x:c>
      <x:c r="M34" s="46" t="n"/>
    </x:row>
    <x:row r="35">
      <x:c r="A35" s="42" t="n"/>
      <x:c r="B35" s="43" t="n"/>
      <x:c r="C35" s="43" t="n"/>
      <x:c r="D35" s="44" t="n"/>
      <x:c r="E35" s="44" t="n"/>
      <x:c r="F35" s="44" t="n"/>
      <x:c r="G35" s="44" t="n"/>
      <x:c r="H35" s="44" t="n"/>
      <x:c r="I35" s="44" t="n"/>
      <x:c r="J35" s="44" t="n"/>
      <x:c r="K35" s="44" t="n"/>
      <x:c r="L35" s="45">
        <x:f>IF(COUNTA(F35:K35)=0,"",SUM(F35:K35))</x:f>
      </x:c>
      <x:c r="M35" s="46" t="n"/>
    </x:row>
    <x:row r="36">
      <x:c r="A36" s="42" t="n"/>
      <x:c r="B36" s="43" t="n"/>
      <x:c r="C36" s="43" t="n"/>
      <x:c r="D36" s="44" t="n"/>
      <x:c r="E36" s="44" t="n"/>
      <x:c r="F36" s="44" t="n"/>
      <x:c r="G36" s="44" t="n"/>
      <x:c r="H36" s="44" t="n"/>
      <x:c r="I36" s="44" t="n"/>
      <x:c r="J36" s="44" t="n"/>
      <x:c r="K36" s="44" t="n"/>
      <x:c r="L36" s="45">
        <x:f>IF(COUNTA(F36:K36)=0,"",SUM(F36:K36))</x:f>
      </x:c>
      <x:c r="M36" s="46" t="n"/>
    </x:row>
    <x:row r="37">
      <x:c r="A37" s="42" t="n"/>
      <x:c r="B37" s="43" t="n"/>
      <x:c r="C37" s="43" t="n"/>
      <x:c r="D37" s="44" t="n"/>
      <x:c r="E37" s="44" t="n"/>
      <x:c r="F37" s="44" t="n"/>
      <x:c r="G37" s="44" t="n"/>
      <x:c r="H37" s="44" t="n"/>
      <x:c r="I37" s="44" t="n"/>
      <x:c r="J37" s="44" t="n"/>
      <x:c r="K37" s="44" t="n"/>
      <x:c r="L37" s="45">
        <x:f>IF(COUNTA(F37:K37)=0,"",SUM(F37:K37))</x:f>
      </x:c>
      <x:c r="M37" s="46" t="n"/>
    </x:row>
    <x:row r="38">
      <x:c r="A38" s="42" t="n"/>
      <x:c r="B38" s="43" t="n"/>
      <x:c r="C38" s="43" t="n"/>
      <x:c r="D38" s="44" t="n"/>
      <x:c r="E38" s="44" t="n"/>
      <x:c r="F38" s="44" t="n"/>
      <x:c r="G38" s="44" t="n"/>
      <x:c r="H38" s="44" t="n"/>
      <x:c r="I38" s="44" t="n"/>
      <x:c r="J38" s="44" t="n"/>
      <x:c r="K38" s="44" t="n"/>
      <x:c r="L38" s="45">
        <x:f>IF(COUNTA(F38:K38)=0,"",SUM(F38:K38))</x:f>
      </x:c>
      <x:c r="M38" s="46" t="n"/>
    </x:row>
    <x:row r="39">
      <x:c r="A39" s="42" t="n"/>
      <x:c r="B39" s="43" t="n"/>
      <x:c r="C39" s="43" t="n"/>
      <x:c r="D39" s="44" t="n"/>
      <x:c r="E39" s="44" t="n"/>
      <x:c r="F39" s="44" t="n"/>
      <x:c r="G39" s="44" t="n"/>
      <x:c r="H39" s="44" t="n"/>
      <x:c r="I39" s="44" t="n"/>
      <x:c r="J39" s="44" t="n"/>
      <x:c r="K39" s="44" t="n"/>
      <x:c r="L39" s="45">
        <x:f>IF(COUNTA(F39:K39)=0,"",SUM(F39:K39))</x:f>
      </x:c>
      <x:c r="M39" s="46" t="n"/>
    </x:row>
    <x:row r="40">
      <x:c r="A40" s="42" t="n"/>
      <x:c r="B40" s="43" t="n"/>
      <x:c r="C40" s="43" t="n"/>
      <x:c r="D40" s="44" t="n"/>
      <x:c r="E40" s="44" t="n"/>
      <x:c r="F40" s="44" t="n"/>
      <x:c r="G40" s="44" t="n"/>
      <x:c r="H40" s="44" t="n"/>
      <x:c r="I40" s="44" t="n"/>
      <x:c r="J40" s="44" t="n"/>
      <x:c r="K40" s="44" t="n"/>
      <x:c r="L40" s="45">
        <x:f>IF(COUNTA(F40:K40)=0,"",SUM(F40:K40))</x:f>
      </x:c>
      <x:c r="M40" s="46" t="n"/>
    </x:row>
    <x:row r="41">
      <x:c r="A41" s="42" t="n"/>
      <x:c r="B41" s="43" t="n"/>
      <x:c r="C41" s="43" t="n"/>
      <x:c r="D41" s="44" t="n"/>
      <x:c r="E41" s="44" t="n"/>
      <x:c r="F41" s="44" t="n"/>
      <x:c r="G41" s="44" t="n"/>
      <x:c r="H41" s="44" t="n"/>
      <x:c r="I41" s="44" t="n"/>
      <x:c r="J41" s="44" t="n"/>
      <x:c r="K41" s="44" t="n"/>
      <x:c r="L41" s="45">
        <x:f>IF(COUNTA(F41:K41)=0,"",SUM(F41:K41))</x:f>
      </x:c>
      <x:c r="M41" s="46" t="n"/>
    </x:row>
    <x:row r="42">
      <x:c r="A42" s="42" t="n"/>
      <x:c r="B42" s="43" t="n"/>
      <x:c r="C42" s="43" t="n"/>
      <x:c r="D42" s="44" t="n"/>
      <x:c r="E42" s="44" t="n"/>
      <x:c r="F42" s="44" t="n"/>
      <x:c r="G42" s="44" t="n"/>
      <x:c r="H42" s="44" t="n"/>
      <x:c r="I42" s="44" t="n"/>
      <x:c r="J42" s="44" t="n"/>
      <x:c r="K42" s="44" t="n"/>
      <x:c r="L42" s="45">
        <x:f>IF(COUNTA(F42:K42)=0,"",SUM(F42:K42))</x:f>
      </x:c>
      <x:c r="M42" s="46" t="n"/>
    </x:row>
    <x:row r="43">
      <x:c r="A43" s="42" t="n"/>
      <x:c r="B43" s="43" t="n"/>
      <x:c r="C43" s="43" t="n"/>
      <x:c r="D43" s="44" t="n"/>
      <x:c r="E43" s="44" t="n"/>
      <x:c r="F43" s="44" t="n"/>
      <x:c r="G43" s="44" t="n"/>
      <x:c r="H43" s="44" t="n"/>
      <x:c r="I43" s="44" t="n"/>
      <x:c r="J43" s="44" t="n"/>
      <x:c r="K43" s="44" t="n"/>
      <x:c r="L43" s="45">
        <x:f>IF(COUNTA(F43:K43)=0,"",SUM(F43:K43))</x:f>
      </x:c>
      <x:c r="M43" s="46" t="n"/>
    </x:row>
    <x:row r="44">
      <x:c r="A44" s="42" t="n"/>
      <x:c r="B44" s="43" t="n"/>
      <x:c r="C44" s="43" t="n"/>
      <x:c r="D44" s="44" t="n"/>
      <x:c r="E44" s="44" t="n"/>
      <x:c r="F44" s="44" t="n"/>
      <x:c r="G44" s="44" t="n"/>
      <x:c r="H44" s="44" t="n"/>
      <x:c r="I44" s="44" t="n"/>
      <x:c r="J44" s="44" t="n"/>
      <x:c r="K44" s="44" t="n"/>
      <x:c r="L44" s="45">
        <x:f>IF(COUNTA(F44:K44)=0,"",SUM(F44:K44))</x:f>
      </x:c>
      <x:c r="M44" s="46" t="n"/>
    </x:row>
    <x:row r="45">
      <x:c r="A45" s="42" t="n"/>
      <x:c r="B45" s="43" t="n"/>
      <x:c r="C45" s="43" t="n"/>
      <x:c r="D45" s="44" t="n"/>
      <x:c r="E45" s="44" t="n"/>
      <x:c r="F45" s="44" t="n"/>
      <x:c r="G45" s="44" t="n"/>
      <x:c r="H45" s="44" t="n"/>
      <x:c r="I45" s="44" t="n"/>
      <x:c r="J45" s="44" t="n"/>
      <x:c r="K45" s="44" t="n"/>
      <x:c r="L45" s="45">
        <x:f>IF(COUNTA(F45:K45)=0,"",SUM(F45:K45))</x:f>
      </x:c>
      <x:c r="M45" s="46" t="n"/>
    </x:row>
    <x:row r="46">
      <x:c r="A46" s="42" t="n"/>
      <x:c r="B46" s="43" t="n"/>
      <x:c r="C46" s="43" t="n"/>
      <x:c r="D46" s="44" t="n"/>
      <x:c r="E46" s="44" t="n"/>
      <x:c r="F46" s="44" t="n"/>
      <x:c r="G46" s="44" t="n"/>
      <x:c r="H46" s="44" t="n"/>
      <x:c r="I46" s="44" t="n"/>
      <x:c r="J46" s="44" t="n"/>
      <x:c r="K46" s="44" t="n"/>
      <x:c r="L46" s="45">
        <x:f>IF(COUNTA(F46:K46)=0,"",SUM(F46:K46))</x:f>
      </x:c>
      <x:c r="M46" s="46" t="n"/>
    </x:row>
    <x:row r="47">
      <x:c r="A47" s="42" t="n"/>
      <x:c r="B47" s="43" t="n"/>
      <x:c r="C47" s="43" t="n"/>
      <x:c r="D47" s="44" t="n"/>
      <x:c r="E47" s="44" t="n"/>
      <x:c r="F47" s="44" t="n"/>
      <x:c r="G47" s="44" t="n"/>
      <x:c r="H47" s="44" t="n"/>
      <x:c r="I47" s="44" t="n"/>
      <x:c r="J47" s="44" t="n"/>
      <x:c r="K47" s="44" t="n"/>
      <x:c r="L47" s="45">
        <x:f>IF(COUNTA(F47:K47)=0,"",SUM(F47:K47))</x:f>
      </x:c>
      <x:c r="M47" s="46" t="n"/>
    </x:row>
    <x:row r="48">
      <x:c r="A48" s="42" t="n"/>
      <x:c r="B48" s="43" t="n"/>
      <x:c r="C48" s="43" t="n"/>
      <x:c r="D48" s="44" t="n"/>
      <x:c r="E48" s="44" t="n"/>
      <x:c r="F48" s="44" t="n"/>
      <x:c r="G48" s="44" t="n"/>
      <x:c r="H48" s="44" t="n"/>
      <x:c r="I48" s="44" t="n"/>
      <x:c r="J48" s="44" t="n"/>
      <x:c r="K48" s="44" t="n"/>
      <x:c r="L48" s="45">
        <x:f>IF(COUNTA(F48:K48)=0,"",SUM(F48:K48))</x:f>
      </x:c>
      <x:c r="M48" s="46" t="n"/>
    </x:row>
    <x:row r="49">
      <x:c r="A49" s="42" t="n"/>
      <x:c r="B49" s="43" t="n"/>
      <x:c r="C49" s="43" t="n"/>
      <x:c r="D49" s="44" t="n"/>
      <x:c r="E49" s="44" t="n"/>
      <x:c r="F49" s="44" t="n"/>
      <x:c r="G49" s="44" t="n"/>
      <x:c r="H49" s="44" t="n"/>
      <x:c r="I49" s="44" t="n"/>
      <x:c r="J49" s="44" t="n"/>
      <x:c r="K49" s="44" t="n"/>
      <x:c r="L49" s="45">
        <x:f>IF(COUNTA(F49:K49)=0,"",SUM(F49:K49))</x:f>
      </x:c>
      <x:c r="M49" s="46" t="n"/>
    </x:row>
    <x:row r="50">
      <x:c r="A50" s="42" t="n"/>
      <x:c r="B50" s="43" t="n"/>
      <x:c r="C50" s="43" t="n"/>
      <x:c r="D50" s="44" t="n"/>
      <x:c r="E50" s="44" t="n"/>
      <x:c r="F50" s="44" t="n"/>
      <x:c r="G50" s="44" t="n"/>
      <x:c r="H50" s="44" t="n"/>
      <x:c r="I50" s="44" t="n"/>
      <x:c r="J50" s="44" t="n"/>
      <x:c r="K50" s="44" t="n"/>
      <x:c r="L50" s="45">
        <x:f>IF(COUNTA(F50:K50)=0,"",SUM(F50:K50))</x:f>
      </x:c>
      <x:c r="M50" s="46" t="n"/>
    </x:row>
    <x:row r="51">
      <x:c r="A51" s="42" t="n"/>
      <x:c r="B51" s="43" t="n"/>
      <x:c r="C51" s="43" t="n"/>
      <x:c r="D51" s="44" t="n"/>
      <x:c r="E51" s="44" t="n"/>
      <x:c r="F51" s="44" t="n"/>
      <x:c r="G51" s="44" t="n"/>
      <x:c r="H51" s="44" t="n"/>
      <x:c r="I51" s="44" t="n"/>
      <x:c r="J51" s="44" t="n"/>
      <x:c r="K51" s="44" t="n"/>
      <x:c r="L51" s="45">
        <x:f>IF(COUNTA(F51:K51)=0,"",SUM(F51:K51))</x:f>
      </x:c>
      <x:c r="M51" s="46" t="n"/>
    </x:row>
    <x:row r="52">
      <x:c r="A52" s="42" t="n"/>
      <x:c r="B52" s="43" t="n"/>
      <x:c r="C52" s="43" t="n"/>
      <x:c r="D52" s="44" t="n"/>
      <x:c r="E52" s="44" t="n"/>
      <x:c r="F52" s="44" t="n"/>
      <x:c r="G52" s="44" t="n"/>
      <x:c r="H52" s="44" t="n"/>
      <x:c r="I52" s="44" t="n"/>
      <x:c r="J52" s="44" t="n"/>
      <x:c r="K52" s="44" t="n"/>
      <x:c r="L52" s="45">
        <x:f>IF(COUNTA(F52:K52)=0,"",SUM(F52:K52))</x:f>
      </x:c>
      <x:c r="M52" s="46" t="n"/>
    </x:row>
    <x:row r="53">
      <x:c r="A53" s="42" t="n"/>
      <x:c r="B53" s="43" t="n"/>
      <x:c r="C53" s="43" t="n"/>
      <x:c r="D53" s="44" t="n"/>
      <x:c r="E53" s="44" t="n"/>
      <x:c r="F53" s="44" t="n"/>
      <x:c r="G53" s="44" t="n"/>
      <x:c r="H53" s="44" t="n"/>
      <x:c r="I53" s="44" t="n"/>
      <x:c r="J53" s="44" t="n"/>
      <x:c r="K53" s="44" t="n"/>
      <x:c r="L53" s="45">
        <x:f>IF(COUNTA(F53:K53)=0,"",SUM(F53:K53))</x:f>
      </x:c>
      <x:c r="M53" s="46" t="n"/>
    </x:row>
    <x:row r="54">
      <x:c r="A54" s="42" t="n"/>
      <x:c r="B54" s="43" t="n"/>
      <x:c r="C54" s="43" t="n"/>
      <x:c r="D54" s="44" t="n"/>
      <x:c r="E54" s="44" t="n"/>
      <x:c r="F54" s="44" t="n"/>
      <x:c r="G54" s="44" t="n"/>
      <x:c r="H54" s="44" t="n"/>
      <x:c r="I54" s="44" t="n"/>
      <x:c r="J54" s="44" t="n"/>
      <x:c r="K54" s="44" t="n"/>
      <x:c r="L54" s="45">
        <x:f>IF(COUNTA(F54:K54)=0,"",SUM(F54:K54))</x:f>
      </x:c>
      <x:c r="M54" s="46" t="n"/>
    </x:row>
    <x:row r="55">
      <x:c r="A55" s="42" t="n"/>
      <x:c r="B55" s="43" t="n"/>
      <x:c r="C55" s="43" t="n"/>
      <x:c r="D55" s="44" t="n"/>
      <x:c r="E55" s="44" t="n"/>
      <x:c r="F55" s="44" t="n"/>
      <x:c r="G55" s="44" t="n"/>
      <x:c r="H55" s="44" t="n"/>
      <x:c r="I55" s="44" t="n"/>
      <x:c r="J55" s="44" t="n"/>
      <x:c r="K55" s="44" t="n"/>
      <x:c r="L55" s="45">
        <x:f>IF(COUNTA(F55:K55)=0,"",SUM(F55:K55))</x:f>
      </x:c>
      <x:c r="M55" s="46" t="n"/>
    </x:row>
    <x:row r="56">
      <x:c r="A56" s="42" t="n"/>
      <x:c r="B56" s="43" t="n"/>
      <x:c r="C56" s="43" t="n"/>
      <x:c r="D56" s="44" t="n"/>
      <x:c r="E56" s="44" t="n"/>
      <x:c r="F56" s="44" t="n"/>
      <x:c r="G56" s="44" t="n"/>
      <x:c r="H56" s="44" t="n"/>
      <x:c r="I56" s="44" t="n"/>
      <x:c r="J56" s="44" t="n"/>
      <x:c r="K56" s="44" t="n"/>
      <x:c r="L56" s="45">
        <x:f>IF(COUNTA(F56:K56)=0,"",SUM(F56:K56))</x:f>
      </x:c>
      <x:c r="M56" s="46" t="n"/>
    </x:row>
    <x:row r="57">
      <x:c r="A57" s="42" t="n"/>
      <x:c r="B57" s="43" t="n"/>
      <x:c r="C57" s="43" t="n"/>
      <x:c r="D57" s="44" t="n"/>
      <x:c r="E57" s="44" t="n"/>
      <x:c r="F57" s="44" t="n"/>
      <x:c r="G57" s="44" t="n"/>
      <x:c r="H57" s="44" t="n"/>
      <x:c r="I57" s="44" t="n"/>
      <x:c r="J57" s="44" t="n"/>
      <x:c r="K57" s="44" t="n"/>
      <x:c r="L57" s="45">
        <x:f>IF(COUNTA(F57:K57)=0,"",SUM(F57:K57))</x:f>
      </x:c>
      <x:c r="M57" s="46" t="n"/>
    </x:row>
    <x:row r="58">
      <x:c r="A58" s="42" t="n"/>
      <x:c r="B58" s="43" t="n"/>
      <x:c r="C58" s="43" t="n"/>
      <x:c r="D58" s="44" t="n"/>
      <x:c r="E58" s="44" t="n"/>
      <x:c r="F58" s="44" t="n"/>
      <x:c r="G58" s="44" t="n"/>
      <x:c r="H58" s="44" t="n"/>
      <x:c r="I58" s="44" t="n"/>
      <x:c r="J58" s="44" t="n"/>
      <x:c r="K58" s="44" t="n"/>
      <x:c r="L58" s="45">
        <x:f>IF(COUNTA(F58:K58)=0,"",SUM(F58:K58))</x:f>
      </x:c>
      <x:c r="M58" s="46" t="n"/>
    </x:row>
    <x:row r="59">
      <x:c r="A59" s="42" t="n"/>
      <x:c r="B59" s="43" t="n"/>
      <x:c r="C59" s="43" t="n"/>
      <x:c r="D59" s="44" t="n"/>
      <x:c r="E59" s="44" t="n"/>
      <x:c r="F59" s="44" t="n"/>
      <x:c r="G59" s="44" t="n"/>
      <x:c r="H59" s="44" t="n"/>
      <x:c r="I59" s="44" t="n"/>
      <x:c r="J59" s="44" t="n"/>
      <x:c r="K59" s="44" t="n"/>
      <x:c r="L59" s="45">
        <x:f>IF(COUNTA(F59:K59)=0,"",SUM(F59:K59))</x:f>
      </x:c>
      <x:c r="M59" s="46" t="n"/>
    </x:row>
    <x:row r="60">
      <x:c r="A60" s="42" t="n"/>
      <x:c r="B60" s="43" t="n"/>
      <x:c r="C60" s="43" t="n"/>
      <x:c r="D60" s="44" t="n"/>
      <x:c r="E60" s="44" t="n"/>
      <x:c r="F60" s="44" t="n"/>
      <x:c r="G60" s="44" t="n"/>
      <x:c r="H60" s="44" t="n"/>
      <x:c r="I60" s="44" t="n"/>
      <x:c r="J60" s="44" t="n"/>
      <x:c r="K60" s="44" t="n"/>
      <x:c r="L60" s="45">
        <x:f>IF(COUNTA(F60:K60)=0,"",SUM(F60:K60))</x:f>
      </x:c>
      <x:c r="M60" s="46" t="n"/>
    </x:row>
    <x:row r="61">
      <x:c r="A61" s="42" t="n"/>
      <x:c r="B61" s="43" t="n"/>
      <x:c r="C61" s="43" t="n"/>
      <x:c r="D61" s="44" t="n"/>
      <x:c r="E61" s="44" t="n"/>
      <x:c r="F61" s="44" t="n"/>
      <x:c r="G61" s="44" t="n"/>
      <x:c r="H61" s="44" t="n"/>
      <x:c r="I61" s="44" t="n"/>
      <x:c r="J61" s="44" t="n"/>
      <x:c r="K61" s="44" t="n"/>
      <x:c r="L61" s="45">
        <x:f>IF(COUNTA(F61:K61)=0,"",SUM(F61:K61))</x:f>
      </x:c>
      <x:c r="M61" s="46" t="n"/>
    </x:row>
    <x:row r="62">
      <x:c r="A62" s="42" t="n"/>
      <x:c r="B62" s="43" t="n"/>
      <x:c r="C62" s="43" t="n"/>
      <x:c r="D62" s="44" t="n"/>
      <x:c r="E62" s="44" t="n"/>
      <x:c r="F62" s="44" t="n"/>
      <x:c r="G62" s="44" t="n"/>
      <x:c r="H62" s="44" t="n"/>
      <x:c r="I62" s="44" t="n"/>
      <x:c r="J62" s="44" t="n"/>
      <x:c r="K62" s="44" t="n"/>
      <x:c r="L62" s="45">
        <x:f>IF(COUNTA(F62:K62)=0,"",SUM(F62:K62))</x:f>
      </x:c>
      <x:c r="M62" s="46" t="n"/>
    </x:row>
    <x:row r="63">
      <x:c r="A63" s="42" t="n"/>
      <x:c r="B63" s="43" t="n"/>
      <x:c r="C63" s="43" t="n"/>
      <x:c r="D63" s="44" t="n"/>
      <x:c r="E63" s="44" t="n"/>
      <x:c r="F63" s="44" t="n"/>
      <x:c r="G63" s="44" t="n"/>
      <x:c r="H63" s="44" t="n"/>
      <x:c r="I63" s="44" t="n"/>
      <x:c r="J63" s="44" t="n"/>
      <x:c r="K63" s="44" t="n"/>
      <x:c r="L63" s="45">
        <x:f>IF(COUNTA(F63:K63)=0,"",SUM(F63:K63))</x:f>
      </x:c>
      <x:c r="M63" s="46" t="n"/>
    </x:row>
    <x:row r="64">
      <x:c r="A64" s="42" t="n"/>
      <x:c r="B64" s="43" t="n"/>
      <x:c r="C64" s="43" t="n"/>
      <x:c r="D64" s="44" t="n"/>
      <x:c r="E64" s="44" t="n"/>
      <x:c r="F64" s="44" t="n"/>
      <x:c r="G64" s="44" t="n"/>
      <x:c r="H64" s="44" t="n"/>
      <x:c r="I64" s="44" t="n"/>
      <x:c r="J64" s="44" t="n"/>
      <x:c r="K64" s="44" t="n"/>
      <x:c r="L64" s="45">
        <x:f>IF(COUNTA(F64:K64)=0,"",SUM(F64:K64))</x:f>
      </x:c>
      <x:c r="M64" s="46" t="n"/>
    </x:row>
    <x:row r="65">
      <x:c r="A65" s="42" t="n"/>
      <x:c r="B65" s="43" t="n"/>
      <x:c r="C65" s="43" t="n"/>
      <x:c r="D65" s="44" t="n"/>
      <x:c r="E65" s="44" t="n"/>
      <x:c r="F65" s="44" t="n"/>
      <x:c r="G65" s="44" t="n"/>
      <x:c r="H65" s="44" t="n"/>
      <x:c r="I65" s="44" t="n"/>
      <x:c r="J65" s="44" t="n"/>
      <x:c r="K65" s="44" t="n"/>
      <x:c r="L65" s="45">
        <x:f>IF(COUNTA(F65:K65)=0,"",SUM(F65:K65))</x:f>
      </x:c>
      <x:c r="M65" s="46" t="n"/>
    </x:row>
    <x:row r="66">
      <x:c r="A66" s="42" t="n"/>
      <x:c r="B66" s="43" t="n"/>
      <x:c r="C66" s="43" t="n"/>
      <x:c r="D66" s="44" t="n"/>
      <x:c r="E66" s="44" t="n"/>
      <x:c r="F66" s="44" t="n"/>
      <x:c r="G66" s="44" t="n"/>
      <x:c r="H66" s="44" t="n"/>
      <x:c r="I66" s="44" t="n"/>
      <x:c r="J66" s="44" t="n"/>
      <x:c r="K66" s="44" t="n"/>
      <x:c r="L66" s="45">
        <x:f>IF(COUNTA(F66:K66)=0,"",SUM(F66:K66))</x:f>
      </x:c>
      <x:c r="M66" s="46" t="n"/>
    </x:row>
    <x:row r="67">
      <x:c r="A67" s="42" t="n"/>
      <x:c r="B67" s="43" t="n"/>
      <x:c r="C67" s="43" t="n"/>
      <x:c r="D67" s="44" t="n"/>
      <x:c r="E67" s="44" t="n"/>
      <x:c r="F67" s="44" t="n"/>
      <x:c r="G67" s="44" t="n"/>
      <x:c r="H67" s="44" t="n"/>
      <x:c r="I67" s="44" t="n"/>
      <x:c r="J67" s="44" t="n"/>
      <x:c r="K67" s="44" t="n"/>
      <x:c r="L67" s="45">
        <x:f>IF(COUNTA(F67:K67)=0,"",SUM(F67:K67))</x:f>
      </x:c>
      <x:c r="M67" s="46" t="n"/>
    </x:row>
    <x:row r="68">
      <x:c r="A68" s="42" t="n"/>
      <x:c r="B68" s="43" t="n"/>
      <x:c r="C68" s="43" t="n"/>
      <x:c r="D68" s="44" t="n"/>
      <x:c r="E68" s="44" t="n"/>
      <x:c r="F68" s="44" t="n"/>
      <x:c r="G68" s="44" t="n"/>
      <x:c r="H68" s="44" t="n"/>
      <x:c r="I68" s="44" t="n"/>
      <x:c r="J68" s="44" t="n"/>
      <x:c r="K68" s="44" t="n"/>
      <x:c r="L68" s="45">
        <x:f>IF(COUNTA(F68:K68)=0,"",SUM(F68:K68))</x:f>
      </x:c>
      <x:c r="M68" s="46" t="n"/>
    </x:row>
    <x:row r="69">
      <x:c r="A69" s="42" t="n"/>
      <x:c r="B69" s="43" t="n"/>
      <x:c r="C69" s="43" t="n"/>
      <x:c r="D69" s="44" t="n"/>
      <x:c r="E69" s="44" t="n"/>
      <x:c r="F69" s="44" t="n"/>
      <x:c r="G69" s="44" t="n"/>
      <x:c r="H69" s="44" t="n"/>
      <x:c r="I69" s="44" t="n"/>
      <x:c r="J69" s="44" t="n"/>
      <x:c r="K69" s="44" t="n"/>
      <x:c r="L69" s="45">
        <x:f>IF(COUNTA(F69:K69)=0,"",SUM(F69:K69))</x:f>
      </x:c>
      <x:c r="M69" s="46" t="n"/>
    </x:row>
    <x:row r="70">
      <x:c r="A70" s="42" t="n"/>
      <x:c r="B70" s="43" t="n"/>
      <x:c r="C70" s="43" t="n"/>
      <x:c r="D70" s="44" t="n"/>
      <x:c r="E70" s="44" t="n"/>
      <x:c r="F70" s="44" t="n"/>
      <x:c r="G70" s="44" t="n"/>
      <x:c r="H70" s="44" t="n"/>
      <x:c r="I70" s="44" t="n"/>
      <x:c r="J70" s="44" t="n"/>
      <x:c r="K70" s="44" t="n"/>
      <x:c r="L70" s="45">
        <x:f>IF(COUNTA(F70:K70)=0,"",SUM(F70:K70))</x:f>
      </x:c>
      <x:c r="M70" s="46" t="n"/>
    </x:row>
    <x:row r="71">
      <x:c r="A71" s="42" t="n"/>
      <x:c r="B71" s="43" t="n"/>
      <x:c r="C71" s="43" t="n"/>
      <x:c r="D71" s="44" t="n"/>
      <x:c r="E71" s="44" t="n"/>
      <x:c r="F71" s="44" t="n"/>
      <x:c r="G71" s="44" t="n"/>
      <x:c r="H71" s="44" t="n"/>
      <x:c r="I71" s="44" t="n"/>
      <x:c r="J71" s="44" t="n"/>
      <x:c r="K71" s="44" t="n"/>
      <x:c r="L71" s="45">
        <x:f>IF(COUNTA(F71:K71)=0,"",SUM(F71:K71))</x:f>
      </x:c>
      <x:c r="M71" s="46" t="n"/>
    </x:row>
    <x:row r="72">
      <x:c r="A72" s="42" t="n"/>
      <x:c r="B72" s="43" t="n"/>
      <x:c r="C72" s="43" t="n"/>
      <x:c r="D72" s="44" t="n"/>
      <x:c r="E72" s="44" t="n"/>
      <x:c r="F72" s="44" t="n"/>
      <x:c r="G72" s="44" t="n"/>
      <x:c r="H72" s="44" t="n"/>
      <x:c r="I72" s="44" t="n"/>
      <x:c r="J72" s="44" t="n"/>
      <x:c r="K72" s="44" t="n"/>
      <x:c r="L72" s="45">
        <x:f>IF(COUNTA(F72:K72)=0,"",SUM(F72:K72))</x:f>
      </x:c>
      <x:c r="M72" s="46" t="n"/>
    </x:row>
    <x:row r="73">
      <x:c r="A73" s="42" t="n"/>
      <x:c r="B73" s="43" t="n"/>
      <x:c r="C73" s="43" t="n"/>
      <x:c r="D73" s="44" t="n"/>
      <x:c r="E73" s="44" t="n"/>
      <x:c r="F73" s="44" t="n"/>
      <x:c r="G73" s="44" t="n"/>
      <x:c r="H73" s="44" t="n"/>
      <x:c r="I73" s="44" t="n"/>
      <x:c r="J73" s="44" t="n"/>
      <x:c r="K73" s="44" t="n"/>
      <x:c r="L73" s="45">
        <x:f>IF(COUNTA(F73:K73)=0,"",SUM(F73:K73))</x:f>
      </x:c>
      <x:c r="M73" s="46" t="n"/>
    </x:row>
    <x:row r="74">
      <x:c r="A74" s="42" t="n"/>
      <x:c r="B74" s="43" t="n"/>
      <x:c r="C74" s="43" t="n"/>
      <x:c r="D74" s="44" t="n"/>
      <x:c r="E74" s="44" t="n"/>
      <x:c r="F74" s="44" t="n"/>
      <x:c r="G74" s="44" t="n"/>
      <x:c r="H74" s="44" t="n"/>
      <x:c r="I74" s="44" t="n"/>
      <x:c r="J74" s="44" t="n"/>
      <x:c r="K74" s="44" t="n"/>
      <x:c r="L74" s="45">
        <x:f>IF(COUNTA(F74:K74)=0,"",SUM(F74:K74))</x:f>
      </x:c>
      <x:c r="M74" s="46" t="n"/>
    </x:row>
    <x:row r="75">
      <x:c r="A75" s="42" t="n"/>
      <x:c r="B75" s="43" t="n"/>
      <x:c r="C75" s="43" t="n"/>
      <x:c r="D75" s="44" t="n"/>
      <x:c r="E75" s="44" t="n"/>
      <x:c r="F75" s="44" t="n"/>
      <x:c r="G75" s="44" t="n"/>
      <x:c r="H75" s="44" t="n"/>
      <x:c r="I75" s="44" t="n"/>
      <x:c r="J75" s="44" t="n"/>
      <x:c r="K75" s="44" t="n"/>
      <x:c r="L75" s="45">
        <x:f>IF(COUNTA(F75:K75)=0,"",SUM(F75:K75))</x:f>
      </x:c>
      <x:c r="M75" s="46" t="n"/>
    </x:row>
    <x:row r="76">
      <x:c r="A76" s="42" t="n"/>
      <x:c r="B76" s="43" t="n"/>
      <x:c r="C76" s="43" t="n"/>
      <x:c r="D76" s="44" t="n"/>
      <x:c r="E76" s="44" t="n"/>
      <x:c r="F76" s="44" t="n"/>
      <x:c r="G76" s="44" t="n"/>
      <x:c r="H76" s="44" t="n"/>
      <x:c r="I76" s="44" t="n"/>
      <x:c r="J76" s="44" t="n"/>
      <x:c r="K76" s="44" t="n"/>
      <x:c r="L76" s="45">
        <x:f>IF(COUNTA(F76:K76)=0,"",SUM(F76:K76))</x:f>
      </x:c>
      <x:c r="M76" s="46" t="n"/>
    </x:row>
    <x:row r="77">
      <x:c r="A77" s="42" t="n"/>
      <x:c r="B77" s="43" t="n"/>
      <x:c r="C77" s="43" t="n"/>
      <x:c r="D77" s="44" t="n"/>
      <x:c r="E77" s="44" t="n"/>
      <x:c r="F77" s="44" t="n"/>
      <x:c r="G77" s="44" t="n"/>
      <x:c r="H77" s="44" t="n"/>
      <x:c r="I77" s="44" t="n"/>
      <x:c r="J77" s="44" t="n"/>
      <x:c r="K77" s="44" t="n"/>
      <x:c r="L77" s="45">
        <x:f>IF(COUNTA(F77:K77)=0,"",SUM(F77:K77))</x:f>
      </x:c>
      <x:c r="M77" s="46" t="n"/>
    </x:row>
    <x:row r="78">
      <x:c r="A78" s="42" t="n"/>
      <x:c r="B78" s="43" t="n"/>
      <x:c r="C78" s="43" t="n"/>
      <x:c r="D78" s="44" t="n"/>
      <x:c r="E78" s="44" t="n"/>
      <x:c r="F78" s="44" t="n"/>
      <x:c r="G78" s="44" t="n"/>
      <x:c r="H78" s="44" t="n"/>
      <x:c r="I78" s="44" t="n"/>
      <x:c r="J78" s="44" t="n"/>
      <x:c r="K78" s="44" t="n"/>
      <x:c r="L78" s="45">
        <x:f>IF(COUNTA(F78:K78)=0,"",SUM(F78:K78))</x:f>
      </x:c>
      <x:c r="M78" s="46" t="n"/>
    </x:row>
    <x:row r="79">
      <x:c r="A79" s="42" t="n"/>
      <x:c r="B79" s="43" t="n"/>
      <x:c r="C79" s="43" t="n"/>
      <x:c r="D79" s="44" t="n"/>
      <x:c r="E79" s="44" t="n"/>
      <x:c r="F79" s="44" t="n"/>
      <x:c r="G79" s="44" t="n"/>
      <x:c r="H79" s="44" t="n"/>
      <x:c r="I79" s="44" t="n"/>
      <x:c r="J79" s="44" t="n"/>
      <x:c r="K79" s="44" t="n"/>
      <x:c r="L79" s="45">
        <x:f>IF(COUNTA(F79:K79)=0,"",SUM(F79:K79))</x:f>
      </x:c>
      <x:c r="M79" s="46" t="n"/>
    </x:row>
    <x:row r="80">
      <x:c r="A80" s="42" t="n"/>
      <x:c r="B80" s="43" t="n"/>
      <x:c r="C80" s="43" t="n"/>
      <x:c r="D80" s="44" t="n"/>
      <x:c r="E80" s="44" t="n"/>
      <x:c r="F80" s="44" t="n"/>
      <x:c r="G80" s="44" t="n"/>
      <x:c r="H80" s="44" t="n"/>
      <x:c r="I80" s="44" t="n"/>
      <x:c r="J80" s="44" t="n"/>
      <x:c r="K80" s="44" t="n"/>
      <x:c r="L80" s="45">
        <x:f>IF(COUNTA(F80:K80)=0,"",SUM(F80:K80))</x:f>
      </x:c>
      <x:c r="M80" s="46" t="n"/>
    </x:row>
    <x:row r="81">
      <x:c r="A81" s="42" t="n"/>
      <x:c r="B81" s="43" t="n"/>
      <x:c r="C81" s="43" t="n"/>
      <x:c r="D81" s="44" t="n"/>
      <x:c r="E81" s="44" t="n"/>
      <x:c r="F81" s="44" t="n"/>
      <x:c r="G81" s="44" t="n"/>
      <x:c r="H81" s="44" t="n"/>
      <x:c r="I81" s="44" t="n"/>
      <x:c r="J81" s="44" t="n"/>
      <x:c r="K81" s="44" t="n"/>
      <x:c r="L81" s="45">
        <x:f>IF(COUNTA(F81:K81)=0,"",SUM(F81:K81))</x:f>
      </x:c>
      <x:c r="M81" s="46" t="n"/>
    </x:row>
    <x:row r="82">
      <x:c r="A82" s="42" t="n"/>
      <x:c r="B82" s="43" t="n"/>
      <x:c r="C82" s="43" t="n"/>
      <x:c r="D82" s="44" t="n"/>
      <x:c r="E82" s="44" t="n"/>
      <x:c r="F82" s="44" t="n"/>
      <x:c r="G82" s="44" t="n"/>
      <x:c r="H82" s="44" t="n"/>
      <x:c r="I82" s="44" t="n"/>
      <x:c r="J82" s="44" t="n"/>
      <x:c r="K82" s="44" t="n"/>
      <x:c r="L82" s="45">
        <x:f>IF(COUNTA(F82:K82)=0,"",SUM(F82:K82))</x:f>
      </x:c>
      <x:c r="M82" s="46" t="n"/>
    </x:row>
    <x:row r="83">
      <x:c r="A83" s="42" t="n"/>
      <x:c r="B83" s="43" t="n"/>
      <x:c r="C83" s="43" t="n"/>
      <x:c r="D83" s="44" t="n"/>
      <x:c r="E83" s="44" t="n"/>
      <x:c r="F83" s="44" t="n"/>
      <x:c r="G83" s="44" t="n"/>
      <x:c r="H83" s="44" t="n"/>
      <x:c r="I83" s="44" t="n"/>
      <x:c r="J83" s="44" t="n"/>
      <x:c r="K83" s="44" t="n"/>
      <x:c r="L83" s="45">
        <x:f>IF(COUNTA(F83:K83)=0,"",SUM(F83:K83))</x:f>
      </x:c>
      <x:c r="M83" s="46" t="n"/>
    </x:row>
    <x:row r="84">
      <x:c r="A84" s="42" t="n"/>
      <x:c r="B84" s="43" t="n"/>
      <x:c r="C84" s="43" t="n"/>
      <x:c r="D84" s="44" t="n"/>
      <x:c r="E84" s="44" t="n"/>
      <x:c r="F84" s="44" t="n"/>
      <x:c r="G84" s="44" t="n"/>
      <x:c r="H84" s="44" t="n"/>
      <x:c r="I84" s="44" t="n"/>
      <x:c r="J84" s="44" t="n"/>
      <x:c r="K84" s="44" t="n"/>
      <x:c r="L84" s="45">
        <x:f>IF(COUNTA(F84:K84)=0,"",SUM(F84:K84))</x:f>
      </x:c>
      <x:c r="M84" s="46" t="n"/>
    </x:row>
    <x:row r="85">
      <x:c r="A85" s="42" t="n"/>
      <x:c r="B85" s="43" t="n"/>
      <x:c r="C85" s="43" t="n"/>
      <x:c r="D85" s="44" t="n"/>
      <x:c r="E85" s="44" t="n"/>
      <x:c r="F85" s="44" t="n"/>
      <x:c r="G85" s="44" t="n"/>
      <x:c r="H85" s="44" t="n"/>
      <x:c r="I85" s="44" t="n"/>
      <x:c r="J85" s="44" t="n"/>
      <x:c r="K85" s="44" t="n"/>
      <x:c r="L85" s="45">
        <x:f>IF(COUNTA(F85:K85)=0,"",SUM(F85:K85))</x:f>
      </x:c>
      <x:c r="M85" s="46" t="n"/>
    </x:row>
    <x:row r="86">
      <x:c r="A86" s="42" t="n"/>
      <x:c r="B86" s="43" t="n"/>
      <x:c r="C86" s="43" t="n"/>
      <x:c r="D86" s="44" t="n"/>
      <x:c r="E86" s="44" t="n"/>
      <x:c r="F86" s="44" t="n"/>
      <x:c r="G86" s="44" t="n"/>
      <x:c r="H86" s="44" t="n"/>
      <x:c r="I86" s="44" t="n"/>
      <x:c r="J86" s="44" t="n"/>
      <x:c r="K86" s="44" t="n"/>
      <x:c r="L86" s="45">
        <x:f>IF(COUNTA(F86:K86)=0,"",SUM(F86:K86))</x:f>
      </x:c>
      <x:c r="M86" s="46" t="n"/>
    </x:row>
    <x:row r="87">
      <x:c r="A87" s="42" t="n"/>
      <x:c r="B87" s="43" t="n"/>
      <x:c r="C87" s="43" t="n"/>
      <x:c r="D87" s="44" t="n"/>
      <x:c r="E87" s="44" t="n"/>
      <x:c r="F87" s="44" t="n"/>
      <x:c r="G87" s="44" t="n"/>
      <x:c r="H87" s="44" t="n"/>
      <x:c r="I87" s="44" t="n"/>
      <x:c r="J87" s="44" t="n"/>
      <x:c r="K87" s="44" t="n"/>
      <x:c r="L87" s="45">
        <x:f>IF(COUNTA(F87:K87)=0,"",SUM(F87:K87))</x:f>
      </x:c>
      <x:c r="M87" s="46" t="n"/>
    </x:row>
    <x:row r="88">
      <x:c r="A88" s="42" t="n"/>
      <x:c r="B88" s="43" t="n"/>
      <x:c r="C88" s="43" t="n"/>
      <x:c r="D88" s="44" t="n"/>
      <x:c r="E88" s="44" t="n"/>
      <x:c r="F88" s="44" t="n"/>
      <x:c r="G88" s="44" t="n"/>
      <x:c r="H88" s="44" t="n"/>
      <x:c r="I88" s="44" t="n"/>
      <x:c r="J88" s="44" t="n"/>
      <x:c r="K88" s="44" t="n"/>
      <x:c r="L88" s="45">
        <x:f>IF(COUNTA(F88:K88)=0,"",SUM(F88:K88))</x:f>
      </x:c>
      <x:c r="M88" s="46" t="n"/>
    </x:row>
    <x:row r="89">
      <x:c r="A89" s="42" t="n"/>
      <x:c r="B89" s="43" t="n"/>
      <x:c r="C89" s="43" t="n"/>
      <x:c r="D89" s="44" t="n"/>
      <x:c r="E89" s="44" t="n"/>
      <x:c r="F89" s="44" t="n"/>
      <x:c r="G89" s="44" t="n"/>
      <x:c r="H89" s="44" t="n"/>
      <x:c r="I89" s="44" t="n"/>
      <x:c r="J89" s="44" t="n"/>
      <x:c r="K89" s="44" t="n"/>
      <x:c r="L89" s="45">
        <x:f>IF(COUNTA(F89:K89)=0,"",SUM(F89:K89))</x:f>
      </x:c>
      <x:c r="M89" s="46" t="n"/>
    </x:row>
    <x:row r="90">
      <x:c r="A90" s="42" t="n"/>
      <x:c r="B90" s="43" t="n"/>
      <x:c r="C90" s="43" t="n"/>
      <x:c r="D90" s="44" t="n"/>
      <x:c r="E90" s="44" t="n"/>
      <x:c r="F90" s="44" t="n"/>
      <x:c r="G90" s="44" t="n"/>
      <x:c r="H90" s="44" t="n"/>
      <x:c r="I90" s="44" t="n"/>
      <x:c r="J90" s="44" t="n"/>
      <x:c r="K90" s="44" t="n"/>
      <x:c r="L90" s="45">
        <x:f>IF(COUNTA(F90:K90)=0,"",SUM(F90:K90))</x:f>
      </x:c>
      <x:c r="M90" s="46" t="n"/>
    </x:row>
    <x:row r="91">
      <x:c r="A91" s="42" t="n"/>
      <x:c r="B91" s="43" t="n"/>
      <x:c r="C91" s="43" t="n"/>
      <x:c r="D91" s="44" t="n"/>
      <x:c r="E91" s="44" t="n"/>
      <x:c r="F91" s="44" t="n"/>
      <x:c r="G91" s="44" t="n"/>
      <x:c r="H91" s="44" t="n"/>
      <x:c r="I91" s="44" t="n"/>
      <x:c r="J91" s="44" t="n"/>
      <x:c r="K91" s="44" t="n"/>
      <x:c r="L91" s="45">
        <x:f>IF(COUNTA(F91:K91)=0,"",SUM(F91:K91))</x:f>
      </x:c>
      <x:c r="M91" s="46" t="n"/>
    </x:row>
    <x:row r="92">
      <x:c r="A92" s="42" t="n"/>
      <x:c r="B92" s="43" t="n"/>
      <x:c r="C92" s="43" t="n"/>
      <x:c r="D92" s="44" t="n"/>
      <x:c r="E92" s="44" t="n"/>
      <x:c r="F92" s="44" t="n"/>
      <x:c r="G92" s="44" t="n"/>
      <x:c r="H92" s="44" t="n"/>
      <x:c r="I92" s="44" t="n"/>
      <x:c r="J92" s="44" t="n"/>
      <x:c r="K92" s="44" t="n"/>
      <x:c r="L92" s="45">
        <x:f>IF(COUNTA(F92:K92)=0,"",SUM(F92:K92))</x:f>
      </x:c>
      <x:c r="M92" s="46" t="n"/>
    </x:row>
    <x:row r="93">
      <x:c r="A93" s="42" t="n"/>
      <x:c r="B93" s="43" t="n"/>
      <x:c r="C93" s="43" t="n"/>
      <x:c r="D93" s="44" t="n"/>
      <x:c r="E93" s="44" t="n"/>
      <x:c r="F93" s="44" t="n"/>
      <x:c r="G93" s="44" t="n"/>
      <x:c r="H93" s="44" t="n"/>
      <x:c r="I93" s="44" t="n"/>
      <x:c r="J93" s="44" t="n"/>
      <x:c r="K93" s="44" t="n"/>
      <x:c r="L93" s="45">
        <x:f>IF(COUNTA(F93:K93)=0,"",SUM(F93:K93))</x:f>
      </x:c>
      <x:c r="M93" s="46" t="n"/>
    </x:row>
    <x:row r="94">
      <x:c r="A94" s="42" t="n"/>
      <x:c r="B94" s="43" t="n"/>
      <x:c r="C94" s="43" t="n"/>
      <x:c r="D94" s="44" t="n"/>
      <x:c r="E94" s="44" t="n"/>
      <x:c r="F94" s="44" t="n"/>
      <x:c r="G94" s="44" t="n"/>
      <x:c r="H94" s="44" t="n"/>
      <x:c r="I94" s="44" t="n"/>
      <x:c r="J94" s="44" t="n"/>
      <x:c r="K94" s="44" t="n"/>
      <x:c r="L94" s="45">
        <x:f>IF(COUNTA(F94:K94)=0,"",SUM(F94:K94))</x:f>
      </x:c>
      <x:c r="M94" s="46" t="n"/>
    </x:row>
    <x:row r="95">
      <x:c r="A95" s="42" t="n"/>
      <x:c r="B95" s="43" t="n"/>
      <x:c r="C95" s="43" t="n"/>
      <x:c r="D95" s="44" t="n"/>
      <x:c r="E95" s="44" t="n"/>
      <x:c r="F95" s="44" t="n"/>
      <x:c r="G95" s="44" t="n"/>
      <x:c r="H95" s="44" t="n"/>
      <x:c r="I95" s="44" t="n"/>
      <x:c r="J95" s="44" t="n"/>
      <x:c r="K95" s="44" t="n"/>
      <x:c r="L95" s="45">
        <x:f>IF(COUNTA(F95:K95)=0,"",SUM(F95:K95))</x:f>
      </x:c>
      <x:c r="M95" s="46" t="n"/>
    </x:row>
    <x:row r="96">
      <x:c r="A96" s="42" t="n"/>
      <x:c r="B96" s="43" t="n"/>
      <x:c r="C96" s="43" t="n"/>
      <x:c r="D96" s="44" t="n"/>
      <x:c r="E96" s="44" t="n"/>
      <x:c r="F96" s="44" t="n"/>
      <x:c r="G96" s="44" t="n"/>
      <x:c r="H96" s="44" t="n"/>
      <x:c r="I96" s="44" t="n"/>
      <x:c r="J96" s="44" t="n"/>
      <x:c r="K96" s="44" t="n"/>
      <x:c r="L96" s="45">
        <x:f>IF(COUNTA(F96:K96)=0,"",SUM(F96:K96))</x:f>
      </x:c>
      <x:c r="M96" s="46" t="n"/>
    </x:row>
    <x:row r="97">
      <x:c r="A97" s="42" t="n"/>
      <x:c r="B97" s="43" t="n"/>
      <x:c r="C97" s="43" t="n"/>
      <x:c r="D97" s="44" t="n"/>
      <x:c r="E97" s="44" t="n"/>
      <x:c r="F97" s="44" t="n"/>
      <x:c r="G97" s="44" t="n"/>
      <x:c r="H97" s="44" t="n"/>
      <x:c r="I97" s="44" t="n"/>
      <x:c r="J97" s="44" t="n"/>
      <x:c r="K97" s="44" t="n"/>
      <x:c r="L97" s="45">
        <x:f>IF(COUNTA(F97:K97)=0,"",SUM(F97:K97))</x:f>
      </x:c>
      <x:c r="M97" s="46" t="n"/>
    </x:row>
    <x:row r="98">
      <x:c r="A98" s="42" t="n"/>
      <x:c r="B98" s="43" t="n"/>
      <x:c r="C98" s="43" t="n"/>
      <x:c r="D98" s="44" t="n"/>
      <x:c r="E98" s="44" t="n"/>
      <x:c r="F98" s="44" t="n"/>
      <x:c r="G98" s="44" t="n"/>
      <x:c r="H98" s="44" t="n"/>
      <x:c r="I98" s="44" t="n"/>
      <x:c r="J98" s="44" t="n"/>
      <x:c r="K98" s="44" t="n"/>
      <x:c r="L98" s="45">
        <x:f>IF(COUNTA(F98:K98)=0,"",SUM(F98:K98))</x:f>
      </x:c>
      <x:c r="M98" s="46" t="n"/>
    </x:row>
    <x:row r="99">
      <x:c r="A99" s="42" t="n"/>
      <x:c r="B99" s="43" t="n"/>
      <x:c r="C99" s="43" t="n"/>
      <x:c r="D99" s="44" t="n"/>
      <x:c r="E99" s="44" t="n"/>
      <x:c r="F99" s="44" t="n"/>
      <x:c r="G99" s="44" t="n"/>
      <x:c r="H99" s="44" t="n"/>
      <x:c r="I99" s="44" t="n"/>
      <x:c r="J99" s="44" t="n"/>
      <x:c r="K99" s="44" t="n"/>
      <x:c r="L99" s="45">
        <x:f>IF(COUNTA(F99:K99)=0,"",SUM(F99:K99))</x:f>
      </x:c>
      <x:c r="M99" s="46" t="n"/>
    </x:row>
    <x:row r="100">
      <x:c r="A100" s="42" t="n"/>
      <x:c r="B100" s="43" t="n"/>
      <x:c r="C100" s="43" t="n"/>
      <x:c r="D100" s="44" t="n"/>
      <x:c r="E100" s="44" t="n"/>
      <x:c r="F100" s="44" t="n"/>
      <x:c r="G100" s="44" t="n"/>
      <x:c r="H100" s="44" t="n"/>
      <x:c r="I100" s="44" t="n"/>
      <x:c r="J100" s="44" t="n"/>
      <x:c r="K100" s="44" t="n"/>
      <x:c r="L100" s="45">
        <x:f>IF(COUNTA(F100:K100)=0,"",SUM(F100:K100))</x:f>
      </x:c>
      <x:c r="M100" s="46" t="n"/>
    </x:row>
    <x:row r="101">
      <x:c r="A101" s="42" t="n"/>
      <x:c r="B101" s="43" t="n"/>
      <x:c r="C101" s="43" t="n"/>
      <x:c r="D101" s="44" t="n"/>
      <x:c r="E101" s="44" t="n"/>
      <x:c r="F101" s="44" t="n"/>
      <x:c r="G101" s="44" t="n"/>
      <x:c r="H101" s="44" t="n"/>
      <x:c r="I101" s="44" t="n"/>
      <x:c r="J101" s="44" t="n"/>
      <x:c r="K101" s="44" t="n"/>
      <x:c r="L101" s="45">
        <x:f>IF(COUNTA(F101:K101)=0,"",SUM(F101:K101))</x:f>
      </x:c>
      <x:c r="M101" s="46" t="n"/>
    </x:row>
    <x:row r="102">
      <x:c r="A102" s="42" t="n"/>
      <x:c r="B102" s="43" t="n"/>
      <x:c r="C102" s="43" t="n"/>
      <x:c r="D102" s="44" t="n"/>
      <x:c r="E102" s="44" t="n"/>
      <x:c r="F102" s="44" t="n"/>
      <x:c r="G102" s="44" t="n"/>
      <x:c r="H102" s="44" t="n"/>
      <x:c r="I102" s="44" t="n"/>
      <x:c r="J102" s="44" t="n"/>
      <x:c r="K102" s="44" t="n"/>
      <x:c r="L102" s="45">
        <x:f>IF(COUNTA(F102:K102)=0,"",SUM(F102:K102))</x:f>
      </x:c>
      <x:c r="M102" s="46" t="n"/>
    </x:row>
    <x:row r="103">
      <x:c r="A103" s="42" t="n"/>
      <x:c r="B103" s="43" t="n"/>
      <x:c r="C103" s="43" t="n"/>
      <x:c r="D103" s="44" t="n"/>
      <x:c r="E103" s="44" t="n"/>
      <x:c r="F103" s="44" t="n"/>
      <x:c r="G103" s="44" t="n"/>
      <x:c r="H103" s="44" t="n"/>
      <x:c r="I103" s="44" t="n"/>
      <x:c r="J103" s="44" t="n"/>
      <x:c r="K103" s="44" t="n"/>
      <x:c r="L103" s="45">
        <x:f>IF(COUNTA(F103:K103)=0,"",SUM(F103:K103))</x:f>
      </x:c>
      <x:c r="M103" s="46" t="n"/>
    </x:row>
    <x:row r="104">
      <x:c r="A104" s="42" t="n"/>
      <x:c r="B104" s="43" t="n"/>
      <x:c r="C104" s="43" t="n"/>
      <x:c r="D104" s="44" t="n"/>
      <x:c r="E104" s="44" t="n"/>
      <x:c r="F104" s="44" t="n"/>
      <x:c r="G104" s="44" t="n"/>
      <x:c r="H104" s="44" t="n"/>
      <x:c r="I104" s="44" t="n"/>
      <x:c r="J104" s="44" t="n"/>
      <x:c r="K104" s="44" t="n"/>
      <x:c r="L104" s="45">
        <x:f>IF(COUNTA(F104:K104)=0,"",SUM(F104:K104))</x:f>
      </x:c>
      <x:c r="M104" s="46" t="n"/>
    </x:row>
    <x:row r="105">
      <x:c r="A105" s="42" t="n"/>
      <x:c r="B105" s="43" t="n"/>
      <x:c r="C105" s="43" t="n"/>
      <x:c r="D105" s="44" t="n"/>
      <x:c r="E105" s="44" t="n"/>
      <x:c r="F105" s="44" t="n"/>
      <x:c r="G105" s="44" t="n"/>
      <x:c r="H105" s="44" t="n"/>
      <x:c r="I105" s="44" t="n"/>
      <x:c r="J105" s="44" t="n"/>
      <x:c r="K105" s="44" t="n"/>
      <x:c r="L105" s="45">
        <x:f>IF(COUNTA(F105:K105)=0,"",SUM(F105:K105))</x:f>
      </x:c>
      <x:c r="M105" s="46" t="n"/>
    </x:row>
    <x:row r="106">
      <x:c r="A106" s="42" t="n"/>
      <x:c r="B106" s="43" t="n"/>
      <x:c r="C106" s="43" t="n"/>
      <x:c r="D106" s="44" t="n"/>
      <x:c r="E106" s="44" t="n"/>
      <x:c r="F106" s="44" t="n"/>
      <x:c r="G106" s="44" t="n"/>
      <x:c r="H106" s="44" t="n"/>
      <x:c r="I106" s="44" t="n"/>
      <x:c r="J106" s="44" t="n"/>
      <x:c r="K106" s="44" t="n"/>
      <x:c r="L106" s="45">
        <x:f>IF(COUNTA(F106:K106)=0,"",SUM(F106:K106))</x:f>
      </x:c>
      <x:c r="M106" s="46" t="n"/>
    </x:row>
    <x:row r="107">
      <x:c r="A107" s="42" t="n"/>
      <x:c r="B107" s="43" t="n"/>
      <x:c r="C107" s="43" t="n"/>
      <x:c r="D107" s="44" t="n"/>
      <x:c r="E107" s="44" t="n"/>
      <x:c r="F107" s="44" t="n"/>
      <x:c r="G107" s="44" t="n"/>
      <x:c r="H107" s="44" t="n"/>
      <x:c r="I107" s="44" t="n"/>
      <x:c r="J107" s="44" t="n"/>
      <x:c r="K107" s="44" t="n"/>
      <x:c r="L107" s="45">
        <x:f>IF(COUNTA(F107:K107)=0,"",SUM(F107:K107))</x:f>
      </x:c>
      <x:c r="M107" s="46" t="n"/>
    </x:row>
    <x:row r="108">
      <x:c r="A108" s="42" t="n"/>
      <x:c r="B108" s="43" t="n"/>
      <x:c r="C108" s="43" t="n"/>
      <x:c r="D108" s="44" t="n"/>
      <x:c r="E108" s="44" t="n"/>
      <x:c r="F108" s="44" t="n"/>
      <x:c r="G108" s="44" t="n"/>
      <x:c r="H108" s="44" t="n"/>
      <x:c r="I108" s="44" t="n"/>
      <x:c r="J108" s="44" t="n"/>
      <x:c r="K108" s="44" t="n"/>
      <x:c r="L108" s="45">
        <x:f>IF(COUNTA(F108:K108)=0,"",SUM(F108:K108))</x:f>
      </x:c>
      <x:c r="M108" s="46" t="n"/>
    </x:row>
    <x:row r="109">
      <x:c r="A109" s="42" t="n"/>
      <x:c r="B109" s="43" t="n"/>
      <x:c r="C109" s="43" t="n"/>
      <x:c r="D109" s="44" t="n"/>
      <x:c r="E109" s="44" t="n"/>
      <x:c r="F109" s="44" t="n"/>
      <x:c r="G109" s="44" t="n"/>
      <x:c r="H109" s="44" t="n"/>
      <x:c r="I109" s="44" t="n"/>
      <x:c r="J109" s="44" t="n"/>
      <x:c r="K109" s="44" t="n"/>
      <x:c r="L109" s="45">
        <x:f>IF(COUNTA(F109:K109)=0,"",SUM(F109:K109))</x:f>
      </x:c>
      <x:c r="M109" s="46" t="n"/>
    </x:row>
    <x:row r="110">
      <x:c r="A110" s="42" t="n"/>
      <x:c r="B110" s="43" t="n"/>
      <x:c r="C110" s="43" t="n"/>
      <x:c r="D110" s="44" t="n"/>
      <x:c r="E110" s="44" t="n"/>
      <x:c r="F110" s="44" t="n"/>
      <x:c r="G110" s="44" t="n"/>
      <x:c r="H110" s="44" t="n"/>
      <x:c r="I110" s="44" t="n"/>
      <x:c r="J110" s="44" t="n"/>
      <x:c r="K110" s="44" t="n"/>
      <x:c r="L110" s="45">
        <x:f>IF(COUNTA(F110:K110)=0,"",SUM(F110:K110))</x:f>
      </x:c>
      <x:c r="M110" s="46" t="n"/>
    </x:row>
    <x:row r="111">
      <x:c r="A111" s="42" t="n"/>
      <x:c r="B111" s="43" t="n"/>
      <x:c r="C111" s="43" t="n"/>
      <x:c r="D111" s="44" t="n"/>
      <x:c r="E111" s="44" t="n"/>
      <x:c r="F111" s="44" t="n"/>
      <x:c r="G111" s="44" t="n"/>
      <x:c r="H111" s="44" t="n"/>
      <x:c r="I111" s="44" t="n"/>
      <x:c r="J111" s="44" t="n"/>
      <x:c r="K111" s="44" t="n"/>
      <x:c r="L111" s="45">
        <x:f>IF(COUNTA(F111:K111)=0,"",SUM(F111:K111))</x:f>
      </x:c>
      <x:c r="M111" s="46" t="n"/>
    </x:row>
    <x:row r="112">
      <x:c r="A112" s="42" t="n"/>
      <x:c r="B112" s="43" t="n"/>
      <x:c r="C112" s="43" t="n"/>
      <x:c r="D112" s="44" t="n"/>
      <x:c r="E112" s="44" t="n"/>
      <x:c r="F112" s="44" t="n"/>
      <x:c r="G112" s="44" t="n"/>
      <x:c r="H112" s="44" t="n"/>
      <x:c r="I112" s="44" t="n"/>
      <x:c r="J112" s="44" t="n"/>
      <x:c r="K112" s="44" t="n"/>
      <x:c r="L112" s="45">
        <x:f>IF(COUNTA(F112:K112)=0,"",SUM(F112:K112))</x:f>
      </x:c>
      <x:c r="M112" s="46" t="n"/>
    </x:row>
    <x:row r="113">
      <x:c r="A113" s="42" t="n"/>
      <x:c r="B113" s="43" t="n"/>
      <x:c r="C113" s="43" t="n"/>
      <x:c r="D113" s="44" t="n"/>
      <x:c r="E113" s="44" t="n"/>
      <x:c r="F113" s="44" t="n"/>
      <x:c r="G113" s="44" t="n"/>
      <x:c r="H113" s="44" t="n"/>
      <x:c r="I113" s="44" t="n"/>
      <x:c r="J113" s="44" t="n"/>
      <x:c r="K113" s="44" t="n"/>
      <x:c r="L113" s="45">
        <x:f>IF(COUNTA(F113:K113)=0,"",SUM(F113:K113))</x:f>
      </x:c>
      <x:c r="M113" s="46" t="n"/>
    </x:row>
    <x:row r="114">
      <x:c r="A114" s="42" t="n"/>
      <x:c r="B114" s="43" t="n"/>
      <x:c r="C114" s="43" t="n"/>
      <x:c r="D114" s="44" t="n"/>
      <x:c r="E114" s="44" t="n"/>
      <x:c r="F114" s="44" t="n"/>
      <x:c r="G114" s="44" t="n"/>
      <x:c r="H114" s="44" t="n"/>
      <x:c r="I114" s="44" t="n"/>
      <x:c r="J114" s="44" t="n"/>
      <x:c r="K114" s="44" t="n"/>
      <x:c r="L114" s="45">
        <x:f>IF(COUNTA(F114:K114)=0,"",SUM(F114:K114))</x:f>
      </x:c>
      <x:c r="M114" s="46" t="n"/>
    </x:row>
    <x:row r="115">
      <x:c r="A115" s="42" t="n"/>
      <x:c r="B115" s="43" t="n"/>
      <x:c r="C115" s="43" t="n"/>
      <x:c r="D115" s="44" t="n"/>
      <x:c r="E115" s="44" t="n"/>
      <x:c r="F115" s="44" t="n"/>
      <x:c r="G115" s="44" t="n"/>
      <x:c r="H115" s="44" t="n"/>
      <x:c r="I115" s="44" t="n"/>
      <x:c r="J115" s="44" t="n"/>
      <x:c r="K115" s="44" t="n"/>
      <x:c r="L115" s="45">
        <x:f>IF(COUNTA(F115:K115)=0,"",SUM(F115:K115))</x:f>
      </x:c>
      <x:c r="M115" s="46" t="n"/>
    </x:row>
    <x:row r="116">
      <x:c r="A116" s="42" t="n"/>
      <x:c r="B116" s="43" t="n"/>
      <x:c r="C116" s="43" t="n"/>
      <x:c r="D116" s="44" t="n"/>
      <x:c r="E116" s="44" t="n"/>
      <x:c r="F116" s="44" t="n"/>
      <x:c r="G116" s="44" t="n"/>
      <x:c r="H116" s="44" t="n"/>
      <x:c r="I116" s="44" t="n"/>
      <x:c r="J116" s="44" t="n"/>
      <x:c r="K116" s="44" t="n"/>
      <x:c r="L116" s="45">
        <x:f>IF(COUNTA(F116:K116)=0,"",SUM(F116:K116))</x:f>
      </x:c>
      <x:c r="M116" s="46" t="n"/>
    </x:row>
    <x:row r="117">
      <x:c r="A117" s="42" t="n"/>
      <x:c r="B117" s="43" t="n"/>
      <x:c r="C117" s="43" t="n"/>
      <x:c r="D117" s="44" t="n"/>
      <x:c r="E117" s="44" t="n"/>
      <x:c r="F117" s="44" t="n"/>
      <x:c r="G117" s="44" t="n"/>
      <x:c r="H117" s="44" t="n"/>
      <x:c r="I117" s="44" t="n"/>
      <x:c r="J117" s="44" t="n"/>
      <x:c r="K117" s="44" t="n"/>
      <x:c r="L117" s="45">
        <x:f>IF(COUNTA(F117:K117)=0,"",SUM(F117:K117))</x:f>
      </x:c>
      <x:c r="M117" s="46" t="n"/>
    </x:row>
    <x:row r="118">
      <x:c r="A118" s="42" t="n"/>
      <x:c r="B118" s="43" t="n"/>
      <x:c r="C118" s="43" t="n"/>
      <x:c r="D118" s="44" t="n"/>
      <x:c r="E118" s="44" t="n"/>
      <x:c r="F118" s="44" t="n"/>
      <x:c r="G118" s="44" t="n"/>
      <x:c r="H118" s="44" t="n"/>
      <x:c r="I118" s="44" t="n"/>
      <x:c r="J118" s="44" t="n"/>
      <x:c r="K118" s="44" t="n"/>
      <x:c r="L118" s="45">
        <x:f>IF(COUNTA(F118:K118)=0,"",SUM(F118:K118))</x:f>
      </x:c>
      <x:c r="M118" s="46" t="n"/>
    </x:row>
    <x:row r="119">
      <x:c r="A119" s="42" t="n"/>
      <x:c r="B119" s="43" t="n"/>
      <x:c r="C119" s="43" t="n"/>
      <x:c r="D119" s="44" t="n"/>
      <x:c r="E119" s="44" t="n"/>
      <x:c r="F119" s="44" t="n"/>
      <x:c r="G119" s="44" t="n"/>
      <x:c r="H119" s="44" t="n"/>
      <x:c r="I119" s="44" t="n"/>
      <x:c r="J119" s="44" t="n"/>
      <x:c r="K119" s="44" t="n"/>
      <x:c r="L119" s="45">
        <x:f>IF(COUNTA(F119:K119)=0,"",SUM(F119:K119))</x:f>
      </x:c>
      <x:c r="M119" s="46" t="n"/>
    </x:row>
    <x:row r="120">
      <x:c r="A120" s="42" t="n"/>
      <x:c r="B120" s="43" t="n"/>
      <x:c r="C120" s="43" t="n"/>
      <x:c r="D120" s="44" t="n"/>
      <x:c r="E120" s="44" t="n"/>
      <x:c r="F120" s="44" t="n"/>
      <x:c r="G120" s="44" t="n"/>
      <x:c r="H120" s="44" t="n"/>
      <x:c r="I120" s="44" t="n"/>
      <x:c r="J120" s="44" t="n"/>
      <x:c r="K120" s="44" t="n"/>
      <x:c r="L120" s="45">
        <x:f>IF(COUNTA(F120:K120)=0,"",SUM(F120:K120))</x:f>
      </x:c>
      <x:c r="M120" s="46" t="n"/>
    </x:row>
    <x:row r="121">
      <x:c r="A121" s="42" t="n"/>
      <x:c r="B121" s="43" t="n"/>
      <x:c r="C121" s="43" t="n"/>
      <x:c r="D121" s="44" t="n"/>
      <x:c r="E121" s="44" t="n"/>
      <x:c r="F121" s="44" t="n"/>
      <x:c r="G121" s="44" t="n"/>
      <x:c r="H121" s="44" t="n"/>
      <x:c r="I121" s="44" t="n"/>
      <x:c r="J121" s="44" t="n"/>
      <x:c r="K121" s="44" t="n"/>
      <x:c r="L121" s="45">
        <x:f>IF(COUNTA(F121:K121)=0,"",SUM(F121:K121))</x:f>
      </x:c>
      <x:c r="M121" s="46" t="n"/>
    </x:row>
    <x:row r="122">
      <x:c r="A122" s="42" t="n"/>
      <x:c r="B122" s="43" t="n"/>
      <x:c r="C122" s="43" t="n"/>
      <x:c r="D122" s="44" t="n"/>
      <x:c r="E122" s="44" t="n"/>
      <x:c r="F122" s="44" t="n"/>
      <x:c r="G122" s="44" t="n"/>
      <x:c r="H122" s="44" t="n"/>
      <x:c r="I122" s="44" t="n"/>
      <x:c r="J122" s="44" t="n"/>
      <x:c r="K122" s="44" t="n"/>
      <x:c r="L122" s="45">
        <x:f>IF(COUNTA(F122:K122)=0,"",SUM(F122:K122))</x:f>
      </x:c>
      <x:c r="M122" s="46" t="n"/>
    </x:row>
    <x:row r="123">
      <x:c r="A123" s="42" t="n"/>
      <x:c r="B123" s="43" t="n"/>
      <x:c r="C123" s="43" t="n"/>
      <x:c r="D123" s="44" t="n"/>
      <x:c r="E123" s="44" t="n"/>
      <x:c r="F123" s="44" t="n"/>
      <x:c r="G123" s="44" t="n"/>
      <x:c r="H123" s="44" t="n"/>
      <x:c r="I123" s="44" t="n"/>
      <x:c r="J123" s="44" t="n"/>
      <x:c r="K123" s="44" t="n"/>
      <x:c r="L123" s="45">
        <x:f>IF(COUNTA(F123:K123)=0,"",SUM(F123:K123))</x:f>
      </x:c>
      <x:c r="M123" s="46" t="n"/>
    </x:row>
    <x:row r="124">
      <x:c r="A124" s="42" t="n"/>
      <x:c r="B124" s="43" t="n"/>
      <x:c r="C124" s="43" t="n"/>
      <x:c r="D124" s="44" t="n"/>
      <x:c r="E124" s="44" t="n"/>
      <x:c r="F124" s="44" t="n"/>
      <x:c r="G124" s="44" t="n"/>
      <x:c r="H124" s="44" t="n"/>
      <x:c r="I124" s="44" t="n"/>
      <x:c r="J124" s="44" t="n"/>
      <x:c r="K124" s="44" t="n"/>
      <x:c r="L124" s="45">
        <x:f>IF(COUNTA(F124:K124)=0,"",SUM(F124:K124))</x:f>
      </x:c>
      <x:c r="M124" s="46" t="n"/>
    </x:row>
    <x:row r="125">
      <x:c r="A125" s="42" t="n"/>
      <x:c r="B125" s="43" t="n"/>
      <x:c r="C125" s="43" t="n"/>
      <x:c r="D125" s="44" t="n"/>
      <x:c r="E125" s="44" t="n"/>
      <x:c r="F125" s="44" t="n"/>
      <x:c r="G125" s="44" t="n"/>
      <x:c r="H125" s="44" t="n"/>
      <x:c r="I125" s="44" t="n"/>
      <x:c r="J125" s="44" t="n"/>
      <x:c r="K125" s="44" t="n"/>
      <x:c r="L125" s="45">
        <x:f>IF(COUNTA(F125:K125)=0,"",SUM(F125:K125))</x:f>
      </x:c>
      <x:c r="M125" s="46" t="n"/>
    </x:row>
    <x:row r="126">
      <x:c r="A126" s="42" t="n"/>
      <x:c r="B126" s="43" t="n"/>
      <x:c r="C126" s="43" t="n"/>
      <x:c r="D126" s="44" t="n"/>
      <x:c r="E126" s="44" t="n"/>
      <x:c r="F126" s="44" t="n"/>
      <x:c r="G126" s="44" t="n"/>
      <x:c r="H126" s="44" t="n"/>
      <x:c r="I126" s="44" t="n"/>
      <x:c r="J126" s="44" t="n"/>
      <x:c r="K126" s="44" t="n"/>
      <x:c r="L126" s="45">
        <x:f>IF(COUNTA(F126:K126)=0,"",SUM(F126:K126))</x:f>
      </x:c>
      <x:c r="M126" s="46" t="n"/>
    </x:row>
    <x:row r="127">
      <x:c r="A127" s="42" t="n"/>
      <x:c r="B127" s="43" t="n"/>
      <x:c r="C127" s="43" t="n"/>
      <x:c r="D127" s="44" t="n"/>
      <x:c r="E127" s="44" t="n"/>
      <x:c r="F127" s="44" t="n"/>
      <x:c r="G127" s="44" t="n"/>
      <x:c r="H127" s="44" t="n"/>
      <x:c r="I127" s="44" t="n"/>
      <x:c r="J127" s="44" t="n"/>
      <x:c r="K127" s="44" t="n"/>
      <x:c r="L127" s="45">
        <x:f>IF(COUNTA(F127:K127)=0,"",SUM(F127:K127))</x:f>
      </x:c>
      <x:c r="M127" s="46" t="n"/>
    </x:row>
    <x:row r="128">
      <x:c r="A128" s="42" t="n"/>
      <x:c r="B128" s="43" t="n"/>
      <x:c r="C128" s="43" t="n"/>
      <x:c r="D128" s="44" t="n"/>
      <x:c r="E128" s="44" t="n"/>
      <x:c r="F128" s="44" t="n"/>
      <x:c r="G128" s="44" t="n"/>
      <x:c r="H128" s="44" t="n"/>
      <x:c r="I128" s="44" t="n"/>
      <x:c r="J128" s="44" t="n"/>
      <x:c r="K128" s="44" t="n"/>
      <x:c r="L128" s="45">
        <x:f>IF(COUNTA(F128:K128)=0,"",SUM(F128:K128))</x:f>
      </x:c>
      <x:c r="M128" s="46" t="n"/>
    </x:row>
    <x:row r="129">
      <x:c r="A129" s="42" t="n"/>
      <x:c r="B129" s="43" t="n"/>
      <x:c r="C129" s="43" t="n"/>
      <x:c r="D129" s="44" t="n"/>
      <x:c r="E129" s="44" t="n"/>
      <x:c r="F129" s="44" t="n"/>
      <x:c r="G129" s="44" t="n"/>
      <x:c r="H129" s="44" t="n"/>
      <x:c r="I129" s="44" t="n"/>
      <x:c r="J129" s="44" t="n"/>
      <x:c r="K129" s="44" t="n"/>
      <x:c r="L129" s="45">
        <x:f>IF(COUNTA(F129:K129)=0,"",SUM(F129:K129))</x:f>
      </x:c>
      <x:c r="M129" s="46" t="n"/>
    </x:row>
    <x:row r="130">
      <x:c r="A130" s="42" t="n"/>
      <x:c r="B130" s="43" t="n"/>
      <x:c r="C130" s="43" t="n"/>
      <x:c r="D130" s="44" t="n"/>
      <x:c r="E130" s="44" t="n"/>
      <x:c r="F130" s="44" t="n"/>
      <x:c r="G130" s="44" t="n"/>
      <x:c r="H130" s="44" t="n"/>
      <x:c r="I130" s="44" t="n"/>
      <x:c r="J130" s="44" t="n"/>
      <x:c r="K130" s="44" t="n"/>
      <x:c r="L130" s="45">
        <x:f>IF(COUNTA(F130:K130)=0,"",SUM(F130:K130))</x:f>
      </x:c>
      <x:c r="M130" s="46" t="n"/>
    </x:row>
    <x:row r="131">
      <x:c r="A131" s="42" t="n"/>
      <x:c r="B131" s="43" t="n"/>
      <x:c r="C131" s="43" t="n"/>
      <x:c r="D131" s="44" t="n"/>
      <x:c r="E131" s="44" t="n"/>
      <x:c r="F131" s="44" t="n"/>
      <x:c r="G131" s="44" t="n"/>
      <x:c r="H131" s="44" t="n"/>
      <x:c r="I131" s="44" t="n"/>
      <x:c r="J131" s="44" t="n"/>
      <x:c r="K131" s="44" t="n"/>
      <x:c r="L131" s="45">
        <x:f>IF(COUNTA(F131:K131)=0,"",SUM(F131:K131))</x:f>
      </x:c>
      <x:c r="M131" s="46" t="n"/>
    </x:row>
    <x:row r="132">
      <x:c r="A132" s="42" t="n"/>
      <x:c r="B132" s="43" t="n"/>
      <x:c r="C132" s="43" t="n"/>
      <x:c r="D132" s="44" t="n"/>
      <x:c r="E132" s="44" t="n"/>
      <x:c r="F132" s="44" t="n"/>
      <x:c r="G132" s="44" t="n"/>
      <x:c r="H132" s="44" t="n"/>
      <x:c r="I132" s="44" t="n"/>
      <x:c r="J132" s="44" t="n"/>
      <x:c r="K132" s="44" t="n"/>
      <x:c r="L132" s="45">
        <x:f>IF(COUNTA(F132:K132)=0,"",SUM(F132:K132))</x:f>
      </x:c>
      <x:c r="M132" s="46" t="n"/>
    </x:row>
    <x:row r="133">
      <x:c r="A133" s="42" t="n"/>
      <x:c r="B133" s="43" t="n"/>
      <x:c r="C133" s="43" t="n"/>
      <x:c r="D133" s="44" t="n"/>
      <x:c r="E133" s="44" t="n"/>
      <x:c r="F133" s="44" t="n"/>
      <x:c r="G133" s="44" t="n"/>
      <x:c r="H133" s="44" t="n"/>
      <x:c r="I133" s="44" t="n"/>
      <x:c r="J133" s="44" t="n"/>
      <x:c r="K133" s="44" t="n"/>
      <x:c r="L133" s="45">
        <x:f>IF(COUNTA(F133:K133)=0,"",SUM(F133:K133))</x:f>
      </x:c>
      <x:c r="M133" s="46" t="n"/>
    </x:row>
    <x:row r="134">
      <x:c r="A134" s="42" t="n"/>
      <x:c r="B134" s="43" t="n"/>
      <x:c r="C134" s="43" t="n"/>
      <x:c r="D134" s="44" t="n"/>
      <x:c r="E134" s="44" t="n"/>
      <x:c r="F134" s="44" t="n"/>
      <x:c r="G134" s="44" t="n"/>
      <x:c r="H134" s="44" t="n"/>
      <x:c r="I134" s="44" t="n"/>
      <x:c r="J134" s="44" t="n"/>
      <x:c r="K134" s="44" t="n"/>
      <x:c r="L134" s="45">
        <x:f>IF(COUNTA(F134:K134)=0,"",SUM(F134:K134))</x:f>
      </x:c>
      <x:c r="M134" s="46" t="n"/>
    </x:row>
    <x:row r="135">
      <x:c r="A135" s="42" t="n"/>
      <x:c r="B135" s="43" t="n"/>
      <x:c r="C135" s="43" t="n"/>
      <x:c r="D135" s="44" t="n"/>
      <x:c r="E135" s="44" t="n"/>
      <x:c r="F135" s="44" t="n"/>
      <x:c r="G135" s="44" t="n"/>
      <x:c r="H135" s="44" t="n"/>
      <x:c r="I135" s="44" t="n"/>
      <x:c r="J135" s="44" t="n"/>
      <x:c r="K135" s="44" t="n"/>
      <x:c r="L135" s="45">
        <x:f>IF(COUNTA(F135:K135)=0,"",SUM(F135:K135))</x:f>
      </x:c>
      <x:c r="M135" s="46" t="n"/>
    </x:row>
    <x:row r="136">
      <x:c r="A136" s="42" t="n"/>
      <x:c r="B136" s="43" t="n"/>
      <x:c r="C136" s="43" t="n"/>
      <x:c r="D136" s="44" t="n"/>
      <x:c r="E136" s="44" t="n"/>
      <x:c r="F136" s="44" t="n"/>
      <x:c r="G136" s="44" t="n"/>
      <x:c r="H136" s="44" t="n"/>
      <x:c r="I136" s="44" t="n"/>
      <x:c r="J136" s="44" t="n"/>
      <x:c r="K136" s="44" t="n"/>
      <x:c r="L136" s="45">
        <x:f>IF(COUNTA(F136:K136)=0,"",SUM(F136:K136))</x:f>
      </x:c>
      <x:c r="M136" s="46" t="n"/>
    </x:row>
    <x:row r="137">
      <x:c r="A137" s="42" t="n"/>
      <x:c r="B137" s="43" t="n"/>
      <x:c r="C137" s="43" t="n"/>
      <x:c r="D137" s="44" t="n"/>
      <x:c r="E137" s="44" t="n"/>
      <x:c r="F137" s="44" t="n"/>
      <x:c r="G137" s="44" t="n"/>
      <x:c r="H137" s="44" t="n"/>
      <x:c r="I137" s="44" t="n"/>
      <x:c r="J137" s="44" t="n"/>
      <x:c r="K137" s="44" t="n"/>
      <x:c r="L137" s="45">
        <x:f>IF(COUNTA(F137:K137)=0,"",SUM(F137:K137))</x:f>
      </x:c>
      <x:c r="M137" s="46" t="n"/>
    </x:row>
    <x:row r="138">
      <x:c r="A138" s="42" t="n"/>
      <x:c r="B138" s="43" t="n"/>
      <x:c r="C138" s="43" t="n"/>
      <x:c r="D138" s="44" t="n"/>
      <x:c r="E138" s="44" t="n"/>
      <x:c r="F138" s="44" t="n"/>
      <x:c r="G138" s="44" t="n"/>
      <x:c r="H138" s="44" t="n"/>
      <x:c r="I138" s="44" t="n"/>
      <x:c r="J138" s="44" t="n"/>
      <x:c r="K138" s="44" t="n"/>
      <x:c r="L138" s="45">
        <x:f>IF(COUNTA(F138:K138)=0,"",SUM(F138:K138))</x:f>
      </x:c>
      <x:c r="M138" s="46" t="n"/>
    </x:row>
    <x:row r="139">
      <x:c r="A139" s="42" t="n"/>
      <x:c r="B139" s="43" t="n"/>
      <x:c r="C139" s="43" t="n"/>
      <x:c r="D139" s="44" t="n"/>
      <x:c r="E139" s="44" t="n"/>
      <x:c r="F139" s="44" t="n"/>
      <x:c r="G139" s="44" t="n"/>
      <x:c r="H139" s="44" t="n"/>
      <x:c r="I139" s="44" t="n"/>
      <x:c r="J139" s="44" t="n"/>
      <x:c r="K139" s="44" t="n"/>
      <x:c r="L139" s="45">
        <x:f>IF(COUNTA(F139:K139)=0,"",SUM(F139:K139))</x:f>
      </x:c>
      <x:c r="M139" s="46" t="n"/>
    </x:row>
    <x:row r="140">
      <x:c r="A140" s="42" t="n"/>
      <x:c r="B140" s="43" t="n"/>
      <x:c r="C140" s="43" t="n"/>
      <x:c r="D140" s="44" t="n"/>
      <x:c r="E140" s="44" t="n"/>
      <x:c r="F140" s="44" t="n"/>
      <x:c r="G140" s="44" t="n"/>
      <x:c r="H140" s="44" t="n"/>
      <x:c r="I140" s="44" t="n"/>
      <x:c r="J140" s="44" t="n"/>
      <x:c r="K140" s="44" t="n"/>
      <x:c r="L140" s="45">
        <x:f>IF(COUNTA(F140:K140)=0,"",SUM(F140:K140))</x:f>
      </x:c>
      <x:c r="M140" s="46" t="n"/>
    </x:row>
    <x:row r="141">
      <x:c r="A141" s="42" t="n"/>
      <x:c r="B141" s="43" t="n"/>
      <x:c r="C141" s="43" t="n"/>
      <x:c r="D141" s="44" t="n"/>
      <x:c r="E141" s="44" t="n"/>
      <x:c r="F141" s="44" t="n"/>
      <x:c r="G141" s="44" t="n"/>
      <x:c r="H141" s="44" t="n"/>
      <x:c r="I141" s="44" t="n"/>
      <x:c r="J141" s="44" t="n"/>
      <x:c r="K141" s="44" t="n"/>
      <x:c r="L141" s="45">
        <x:f>IF(COUNTA(F141:K141)=0,"",SUM(F141:K141))</x:f>
      </x:c>
      <x:c r="M141" s="46" t="n"/>
    </x:row>
    <x:row r="142">
      <x:c r="A142" s="42" t="n"/>
      <x:c r="B142" s="43" t="n"/>
      <x:c r="C142" s="43" t="n"/>
      <x:c r="D142" s="44" t="n"/>
      <x:c r="E142" s="44" t="n"/>
      <x:c r="F142" s="44" t="n"/>
      <x:c r="G142" s="44" t="n"/>
      <x:c r="H142" s="44" t="n"/>
      <x:c r="I142" s="44" t="n"/>
      <x:c r="J142" s="44" t="n"/>
      <x:c r="K142" s="44" t="n"/>
      <x:c r="L142" s="45">
        <x:f>IF(COUNTA(F142:K142)=0,"",SUM(F142:K142))</x:f>
      </x:c>
      <x:c r="M142" s="46" t="n"/>
    </x:row>
    <x:row r="143">
      <x:c r="A143" s="42" t="n"/>
      <x:c r="B143" s="43" t="n"/>
      <x:c r="C143" s="43" t="n"/>
      <x:c r="D143" s="44" t="n"/>
      <x:c r="E143" s="44" t="n"/>
      <x:c r="F143" s="44" t="n"/>
      <x:c r="G143" s="44" t="n"/>
      <x:c r="H143" s="44" t="n"/>
      <x:c r="I143" s="44" t="n"/>
      <x:c r="J143" s="44" t="n"/>
      <x:c r="K143" s="44" t="n"/>
      <x:c r="L143" s="45">
        <x:f>IF(COUNTA(F143:K143)=0,"",SUM(F143:K143))</x:f>
      </x:c>
      <x:c r="M143" s="46" t="n"/>
    </x:row>
    <x:row r="144">
      <x:c r="A144" s="42" t="n"/>
      <x:c r="B144" s="43" t="n"/>
      <x:c r="C144" s="43" t="n"/>
      <x:c r="D144" s="44" t="n"/>
      <x:c r="E144" s="44" t="n"/>
      <x:c r="F144" s="44" t="n"/>
      <x:c r="G144" s="44" t="n"/>
      <x:c r="H144" s="44" t="n"/>
      <x:c r="I144" s="44" t="n"/>
      <x:c r="J144" s="44" t="n"/>
      <x:c r="K144" s="44" t="n"/>
      <x:c r="L144" s="45">
        <x:f>IF(COUNTA(F144:K144)=0,"",SUM(F144:K144))</x:f>
      </x:c>
      <x:c r="M144" s="46" t="n"/>
    </x:row>
    <x:row r="145">
      <x:c r="A145" s="42" t="n"/>
      <x:c r="B145" s="43" t="n"/>
      <x:c r="C145" s="43" t="n"/>
      <x:c r="D145" s="44" t="n"/>
      <x:c r="E145" s="44" t="n"/>
      <x:c r="F145" s="44" t="n"/>
      <x:c r="G145" s="44" t="n"/>
      <x:c r="H145" s="44" t="n"/>
      <x:c r="I145" s="44" t="n"/>
      <x:c r="J145" s="44" t="n"/>
      <x:c r="K145" s="44" t="n"/>
      <x:c r="L145" s="45">
        <x:f>IF(COUNTA(F145:K145)=0,"",SUM(F145:K145))</x:f>
      </x:c>
      <x:c r="M145" s="46" t="n"/>
    </x:row>
    <x:row r="146">
      <x:c r="A146" s="42" t="n"/>
      <x:c r="B146" s="43" t="n"/>
      <x:c r="C146" s="43" t="n"/>
      <x:c r="D146" s="44" t="n"/>
      <x:c r="E146" s="44" t="n"/>
      <x:c r="F146" s="44" t="n"/>
      <x:c r="G146" s="44" t="n"/>
      <x:c r="H146" s="44" t="n"/>
      <x:c r="I146" s="44" t="n"/>
      <x:c r="J146" s="44" t="n"/>
      <x:c r="K146" s="44" t="n"/>
      <x:c r="L146" s="45">
        <x:f>IF(COUNTA(F146:K146)=0,"",SUM(F146:K146))</x:f>
      </x:c>
      <x:c r="M146" s="46" t="n"/>
    </x:row>
    <x:row r="147">
      <x:c r="A147" s="42" t="n"/>
      <x:c r="B147" s="43" t="n"/>
      <x:c r="C147" s="43" t="n"/>
      <x:c r="D147" s="44" t="n"/>
      <x:c r="E147" s="44" t="n"/>
      <x:c r="F147" s="44" t="n"/>
      <x:c r="G147" s="44" t="n"/>
      <x:c r="H147" s="44" t="n"/>
      <x:c r="I147" s="44" t="n"/>
      <x:c r="J147" s="44" t="n"/>
      <x:c r="K147" s="44" t="n"/>
      <x:c r="L147" s="45">
        <x:f>IF(COUNTA(F147:K147)=0,"",SUM(F147:K147))</x:f>
      </x:c>
      <x:c r="M147" s="46" t="n"/>
    </x:row>
    <x:row r="148">
      <x:c r="A148" s="42" t="n"/>
      <x:c r="B148" s="43" t="n"/>
      <x:c r="C148" s="43" t="n"/>
      <x:c r="D148" s="44" t="n"/>
      <x:c r="E148" s="44" t="n"/>
      <x:c r="F148" s="44" t="n"/>
      <x:c r="G148" s="44" t="n"/>
      <x:c r="H148" s="44" t="n"/>
      <x:c r="I148" s="44" t="n"/>
      <x:c r="J148" s="44" t="n"/>
      <x:c r="K148" s="44" t="n"/>
      <x:c r="L148" s="45">
        <x:f>IF(COUNTA(F148:K148)=0,"",SUM(F148:K148))</x:f>
      </x:c>
      <x:c r="M148" s="46" t="n"/>
    </x:row>
    <x:row r="149">
      <x:c r="A149" s="42" t="n"/>
      <x:c r="B149" s="43" t="n"/>
      <x:c r="C149" s="43" t="n"/>
      <x:c r="D149" s="44" t="n"/>
      <x:c r="E149" s="44" t="n"/>
      <x:c r="F149" s="44" t="n"/>
      <x:c r="G149" s="44" t="n"/>
      <x:c r="H149" s="44" t="n"/>
      <x:c r="I149" s="44" t="n"/>
      <x:c r="J149" s="44" t="n"/>
      <x:c r="K149" s="44" t="n"/>
      <x:c r="L149" s="45">
        <x:f>IF(COUNTA(F149:K149)=0,"",SUM(F149:K149))</x:f>
      </x:c>
      <x:c r="M149" s="46" t="n"/>
    </x:row>
    <x:row r="150">
      <x:c r="A150" s="42" t="n"/>
      <x:c r="B150" s="43" t="n"/>
      <x:c r="C150" s="43" t="n"/>
      <x:c r="D150" s="44" t="n"/>
      <x:c r="E150" s="44" t="n"/>
      <x:c r="F150" s="44" t="n"/>
      <x:c r="G150" s="44" t="n"/>
      <x:c r="H150" s="44" t="n"/>
      <x:c r="I150" s="44" t="n"/>
      <x:c r="J150" s="44" t="n"/>
      <x:c r="K150" s="44" t="n"/>
      <x:c r="L150" s="45">
        <x:f>IF(COUNTA(F150:K150)=0,"",SUM(F150:K150))</x:f>
      </x:c>
      <x:c r="M150" s="46" t="n"/>
    </x:row>
    <x:row r="151">
      <x:c r="A151" s="42" t="n"/>
      <x:c r="B151" s="43" t="n"/>
      <x:c r="C151" s="43" t="n"/>
      <x:c r="D151" s="44" t="n"/>
      <x:c r="E151" s="44" t="n"/>
      <x:c r="F151" s="44" t="n"/>
      <x:c r="G151" s="44" t="n"/>
      <x:c r="H151" s="44" t="n"/>
      <x:c r="I151" s="44" t="n"/>
      <x:c r="J151" s="44" t="n"/>
      <x:c r="K151" s="44" t="n"/>
      <x:c r="L151" s="45">
        <x:f>IF(COUNTA(F151:K151)=0,"",SUM(F151:K151))</x:f>
      </x:c>
      <x:c r="M151" s="46" t="n"/>
    </x:row>
    <x:row r="152">
      <x:c r="A152" s="42" t="n"/>
      <x:c r="B152" s="43" t="n"/>
      <x:c r="C152" s="43" t="n"/>
      <x:c r="D152" s="44" t="n"/>
      <x:c r="E152" s="44" t="n"/>
      <x:c r="F152" s="44" t="n"/>
      <x:c r="G152" s="44" t="n"/>
      <x:c r="H152" s="44" t="n"/>
      <x:c r="I152" s="44" t="n"/>
      <x:c r="J152" s="44" t="n"/>
      <x:c r="K152" s="44" t="n"/>
      <x:c r="L152" s="45">
        <x:f>IF(COUNTA(F152:K152)=0,"",SUM(F152:K152))</x:f>
      </x:c>
      <x:c r="M152" s="46" t="n"/>
    </x:row>
    <x:row r="153">
      <x:c r="A153" s="42" t="n"/>
      <x:c r="B153" s="43" t="n"/>
      <x:c r="C153" s="43" t="n"/>
      <x:c r="D153" s="44" t="n"/>
      <x:c r="E153" s="44" t="n"/>
      <x:c r="F153" s="44" t="n"/>
      <x:c r="G153" s="44" t="n"/>
      <x:c r="H153" s="44" t="n"/>
      <x:c r="I153" s="44" t="n"/>
      <x:c r="J153" s="44" t="n"/>
      <x:c r="K153" s="44" t="n"/>
      <x:c r="L153" s="45">
        <x:f>IF(COUNTA(F153:K153)=0,"",SUM(F153:K153))</x:f>
      </x:c>
      <x:c r="M153" s="46" t="n"/>
    </x:row>
    <x:row r="154">
      <x:c r="A154" s="42" t="n"/>
      <x:c r="B154" s="43" t="n"/>
      <x:c r="C154" s="43" t="n"/>
      <x:c r="D154" s="44" t="n"/>
      <x:c r="E154" s="44" t="n"/>
      <x:c r="F154" s="44" t="n"/>
      <x:c r="G154" s="44" t="n"/>
      <x:c r="H154" s="44" t="n"/>
      <x:c r="I154" s="44" t="n"/>
      <x:c r="J154" s="44" t="n"/>
      <x:c r="K154" s="44" t="n"/>
      <x:c r="L154" s="45">
        <x:f>IF(COUNTA(F154:K154)=0,"",SUM(F154:K154))</x:f>
      </x:c>
      <x:c r="M154" s="46" t="n"/>
    </x:row>
    <x:row r="155">
      <x:c r="A155" s="42" t="n"/>
      <x:c r="B155" s="43" t="n"/>
      <x:c r="C155" s="43" t="n"/>
      <x:c r="D155" s="44" t="n"/>
      <x:c r="E155" s="44" t="n"/>
      <x:c r="F155" s="44" t="n"/>
      <x:c r="G155" s="44" t="n"/>
      <x:c r="H155" s="44" t="n"/>
      <x:c r="I155" s="44" t="n"/>
      <x:c r="J155" s="44" t="n"/>
      <x:c r="K155" s="44" t="n"/>
      <x:c r="L155" s="45">
        <x:f>IF(COUNTA(F155:K155)=0,"",SUM(F155:K155))</x:f>
      </x:c>
      <x:c r="M155" s="46" t="n"/>
    </x:row>
    <x:row r="156">
      <x:c r="A156" s="42" t="n"/>
      <x:c r="B156" s="43" t="n"/>
      <x:c r="C156" s="43" t="n"/>
      <x:c r="D156" s="44" t="n"/>
      <x:c r="E156" s="44" t="n"/>
      <x:c r="F156" s="44" t="n"/>
      <x:c r="G156" s="44" t="n"/>
      <x:c r="H156" s="44" t="n"/>
      <x:c r="I156" s="44" t="n"/>
      <x:c r="J156" s="44" t="n"/>
      <x:c r="K156" s="44" t="n"/>
      <x:c r="L156" s="45">
        <x:f>IF(COUNTA(F156:K156)=0,"",SUM(F156:K156))</x:f>
      </x:c>
      <x:c r="M156" s="46" t="n"/>
    </x:row>
    <x:row r="157">
      <x:c r="A157" s="42" t="n"/>
      <x:c r="B157" s="43" t="n"/>
      <x:c r="C157" s="43" t="n"/>
      <x:c r="D157" s="44" t="n"/>
      <x:c r="E157" s="44" t="n"/>
      <x:c r="F157" s="44" t="n"/>
      <x:c r="G157" s="44" t="n"/>
      <x:c r="H157" s="44" t="n"/>
      <x:c r="I157" s="44" t="n"/>
      <x:c r="J157" s="44" t="n"/>
      <x:c r="K157" s="44" t="n"/>
      <x:c r="L157" s="45">
        <x:f>IF(COUNTA(F157:K157)=0,"",SUM(F157:K157))</x:f>
      </x:c>
      <x:c r="M157" s="46" t="n"/>
    </x:row>
    <x:row r="158">
      <x:c r="A158" s="42" t="n"/>
      <x:c r="B158" s="43" t="n"/>
      <x:c r="C158" s="43" t="n"/>
      <x:c r="D158" s="44" t="n"/>
      <x:c r="E158" s="44" t="n"/>
      <x:c r="F158" s="44" t="n"/>
      <x:c r="G158" s="44" t="n"/>
      <x:c r="H158" s="44" t="n"/>
      <x:c r="I158" s="44" t="n"/>
      <x:c r="J158" s="44" t="n"/>
      <x:c r="K158" s="44" t="n"/>
      <x:c r="L158" s="45">
        <x:f>IF(COUNTA(F158:K158)=0,"",SUM(F158:K158))</x:f>
      </x:c>
      <x:c r="M158" s="46" t="n"/>
    </x:row>
    <x:row r="159">
      <x:c r="A159" s="42" t="n"/>
      <x:c r="B159" s="43" t="n"/>
      <x:c r="C159" s="43" t="n"/>
      <x:c r="D159" s="44" t="n"/>
      <x:c r="E159" s="44" t="n"/>
      <x:c r="F159" s="44" t="n"/>
      <x:c r="G159" s="44" t="n"/>
      <x:c r="H159" s="44" t="n"/>
      <x:c r="I159" s="44" t="n"/>
      <x:c r="J159" s="44" t="n"/>
      <x:c r="K159" s="44" t="n"/>
      <x:c r="L159" s="45">
        <x:f>IF(COUNTA(F159:K159)=0,"",SUM(F159:K159))</x:f>
      </x:c>
      <x:c r="M159" s="46" t="n"/>
    </x:row>
    <x:row r="160">
      <x:c r="A160" s="42" t="n"/>
      <x:c r="B160" s="43" t="n"/>
      <x:c r="C160" s="43" t="n"/>
      <x:c r="D160" s="44" t="n"/>
      <x:c r="E160" s="44" t="n"/>
      <x:c r="F160" s="44" t="n"/>
      <x:c r="G160" s="44" t="n"/>
      <x:c r="H160" s="44" t="n"/>
      <x:c r="I160" s="44" t="n"/>
      <x:c r="J160" s="44" t="n"/>
      <x:c r="K160" s="44" t="n"/>
      <x:c r="L160" s="45">
        <x:f>IF(COUNTA(F160:K160)=0,"",SUM(F160:K160))</x:f>
      </x:c>
      <x:c r="M160" s="46" t="n"/>
    </x:row>
    <x:row r="161">
      <x:c r="A161" s="42" t="n"/>
      <x:c r="B161" s="43" t="n"/>
      <x:c r="C161" s="43" t="n"/>
      <x:c r="D161" s="44" t="n"/>
      <x:c r="E161" s="44" t="n"/>
      <x:c r="F161" s="44" t="n"/>
      <x:c r="G161" s="44" t="n"/>
      <x:c r="H161" s="44" t="n"/>
      <x:c r="I161" s="44" t="n"/>
      <x:c r="J161" s="44" t="n"/>
      <x:c r="K161" s="44" t="n"/>
      <x:c r="L161" s="45">
        <x:f>IF(COUNTA(F161:K161)=0,"",SUM(F161:K161))</x:f>
      </x:c>
      <x:c r="M161" s="46" t="n"/>
    </x:row>
    <x:row r="162">
      <x:c r="A162" s="42" t="n"/>
      <x:c r="B162" s="43" t="n"/>
      <x:c r="C162" s="43" t="n"/>
      <x:c r="D162" s="44" t="n"/>
      <x:c r="E162" s="44" t="n"/>
      <x:c r="F162" s="44" t="n"/>
      <x:c r="G162" s="44" t="n"/>
      <x:c r="H162" s="44" t="n"/>
      <x:c r="I162" s="44" t="n"/>
      <x:c r="J162" s="44" t="n"/>
      <x:c r="K162" s="44" t="n"/>
      <x:c r="L162" s="45">
        <x:f>IF(COUNTA(F162:K162)=0,"",SUM(F162:K162))</x:f>
      </x:c>
      <x:c r="M162" s="46" t="n"/>
    </x:row>
    <x:row r="163">
      <x:c r="A163" s="42" t="n"/>
      <x:c r="B163" s="43" t="n"/>
      <x:c r="C163" s="43" t="n"/>
      <x:c r="D163" s="44" t="n"/>
      <x:c r="E163" s="44" t="n"/>
      <x:c r="F163" s="44" t="n"/>
      <x:c r="G163" s="44" t="n"/>
      <x:c r="H163" s="44" t="n"/>
      <x:c r="I163" s="44" t="n"/>
      <x:c r="J163" s="44" t="n"/>
      <x:c r="K163" s="44" t="n"/>
      <x:c r="L163" s="45">
        <x:f>IF(COUNTA(F163:K163)=0,"",SUM(F163:K163))</x:f>
      </x:c>
      <x:c r="M163" s="46" t="n"/>
    </x:row>
    <x:row r="164">
      <x:c r="A164" s="42" t="n"/>
      <x:c r="B164" s="43" t="n"/>
      <x:c r="C164" s="43" t="n"/>
      <x:c r="D164" s="44" t="n"/>
      <x:c r="E164" s="44" t="n"/>
      <x:c r="F164" s="44" t="n"/>
      <x:c r="G164" s="44" t="n"/>
      <x:c r="H164" s="44" t="n"/>
      <x:c r="I164" s="44" t="n"/>
      <x:c r="J164" s="44" t="n"/>
      <x:c r="K164" s="44" t="n"/>
      <x:c r="L164" s="45">
        <x:f>IF(COUNTA(F164:K164)=0,"",SUM(F164:K164))</x:f>
      </x:c>
      <x:c r="M164" s="46" t="n"/>
    </x:row>
    <x:row r="165">
      <x:c r="A165" s="42" t="n"/>
      <x:c r="B165" s="43" t="n"/>
      <x:c r="C165" s="43" t="n"/>
      <x:c r="D165" s="44" t="n"/>
      <x:c r="E165" s="44" t="n"/>
      <x:c r="F165" s="44" t="n"/>
      <x:c r="G165" s="44" t="n"/>
      <x:c r="H165" s="44" t="n"/>
      <x:c r="I165" s="44" t="n"/>
      <x:c r="J165" s="44" t="n"/>
      <x:c r="K165" s="44" t="n"/>
      <x:c r="L165" s="45">
        <x:f>IF(COUNTA(F165:K165)=0,"",SUM(F165:K165))</x:f>
      </x:c>
      <x:c r="M165" s="46" t="n"/>
    </x:row>
    <x:row r="166">
      <x:c r="A166" s="42" t="n"/>
      <x:c r="B166" s="43" t="n"/>
      <x:c r="C166" s="43" t="n"/>
      <x:c r="D166" s="44" t="n"/>
      <x:c r="E166" s="44" t="n"/>
      <x:c r="F166" s="44" t="n"/>
      <x:c r="G166" s="44" t="n"/>
      <x:c r="H166" s="44" t="n"/>
      <x:c r="I166" s="44" t="n"/>
      <x:c r="J166" s="44" t="n"/>
      <x:c r="K166" s="44" t="n"/>
      <x:c r="L166" s="45">
        <x:f>IF(COUNTA(F166:K166)=0,"",SUM(F166:K166))</x:f>
      </x:c>
      <x:c r="M166" s="46" t="n"/>
    </x:row>
    <x:row r="167">
      <x:c r="A167" s="42" t="n"/>
      <x:c r="B167" s="43" t="n"/>
      <x:c r="C167" s="43" t="n"/>
      <x:c r="D167" s="44" t="n"/>
      <x:c r="E167" s="44" t="n"/>
      <x:c r="F167" s="44" t="n"/>
      <x:c r="G167" s="44" t="n"/>
      <x:c r="H167" s="44" t="n"/>
      <x:c r="I167" s="44" t="n"/>
      <x:c r="J167" s="44" t="n"/>
      <x:c r="K167" s="44" t="n"/>
      <x:c r="L167" s="45">
        <x:f>IF(COUNTA(F167:K167)=0,"",SUM(F167:K167))</x:f>
      </x:c>
      <x:c r="M167" s="46" t="n"/>
    </x:row>
    <x:row r="168">
      <x:c r="A168" s="42" t="n"/>
      <x:c r="B168" s="43" t="n"/>
      <x:c r="C168" s="43" t="n"/>
      <x:c r="D168" s="44" t="n"/>
      <x:c r="E168" s="44" t="n"/>
      <x:c r="F168" s="44" t="n"/>
      <x:c r="G168" s="44" t="n"/>
      <x:c r="H168" s="44" t="n"/>
      <x:c r="I168" s="44" t="n"/>
      <x:c r="J168" s="44" t="n"/>
      <x:c r="K168" s="44" t="n"/>
      <x:c r="L168" s="45">
        <x:f>IF(COUNTA(F168:K168)=0,"",SUM(F168:K168))</x:f>
      </x:c>
      <x:c r="M168" s="46" t="n"/>
    </x:row>
    <x:row r="169">
      <x:c r="A169" s="42" t="n"/>
      <x:c r="B169" s="43" t="n"/>
      <x:c r="C169" s="43" t="n"/>
      <x:c r="D169" s="44" t="n"/>
      <x:c r="E169" s="44" t="n"/>
      <x:c r="F169" s="44" t="n"/>
      <x:c r="G169" s="44" t="n"/>
      <x:c r="H169" s="44" t="n"/>
      <x:c r="I169" s="44" t="n"/>
      <x:c r="J169" s="44" t="n"/>
      <x:c r="K169" s="44" t="n"/>
      <x:c r="L169" s="45">
        <x:f>IF(COUNTA(F169:K169)=0,"",SUM(F169:K169))</x:f>
      </x:c>
      <x:c r="M169" s="46" t="n"/>
    </x:row>
    <x:row r="170">
      <x:c r="A170" s="42" t="n"/>
      <x:c r="B170" s="43" t="n"/>
      <x:c r="C170" s="43" t="n"/>
      <x:c r="D170" s="44" t="n"/>
      <x:c r="E170" s="44" t="n"/>
      <x:c r="F170" s="44" t="n"/>
      <x:c r="G170" s="44" t="n"/>
      <x:c r="H170" s="44" t="n"/>
      <x:c r="I170" s="44" t="n"/>
      <x:c r="J170" s="44" t="n"/>
      <x:c r="K170" s="44" t="n"/>
      <x:c r="L170" s="45">
        <x:f>IF(COUNTA(F170:K170)=0,"",SUM(F170:K170))</x:f>
      </x:c>
      <x:c r="M170" s="46" t="n"/>
    </x:row>
    <x:row r="171">
      <x:c r="A171" s="42" t="n"/>
      <x:c r="B171" s="43" t="n"/>
      <x:c r="C171" s="43" t="n"/>
      <x:c r="D171" s="44" t="n"/>
      <x:c r="E171" s="44" t="n"/>
      <x:c r="F171" s="44" t="n"/>
      <x:c r="G171" s="44" t="n"/>
      <x:c r="H171" s="44" t="n"/>
      <x:c r="I171" s="44" t="n"/>
      <x:c r="J171" s="44" t="n"/>
      <x:c r="K171" s="44" t="n"/>
      <x:c r="L171" s="45">
        <x:f>IF(COUNTA(F171:K171)=0,"",SUM(F171:K171))</x:f>
      </x:c>
      <x:c r="M171" s="46" t="n"/>
    </x:row>
    <x:row r="172">
      <x:c r="A172" s="42" t="n"/>
      <x:c r="B172" s="43" t="n"/>
      <x:c r="C172" s="43" t="n"/>
      <x:c r="D172" s="44" t="n"/>
      <x:c r="E172" s="44" t="n"/>
      <x:c r="F172" s="44" t="n"/>
      <x:c r="G172" s="44" t="n"/>
      <x:c r="H172" s="44" t="n"/>
      <x:c r="I172" s="44" t="n"/>
      <x:c r="J172" s="44" t="n"/>
      <x:c r="K172" s="44" t="n"/>
      <x:c r="L172" s="45">
        <x:f>IF(COUNTA(F172:K172)=0,"",SUM(F172:K172))</x:f>
      </x:c>
      <x:c r="M172" s="46" t="n"/>
    </x:row>
    <x:row r="173">
      <x:c r="A173" s="42" t="n"/>
      <x:c r="B173" s="43" t="n"/>
      <x:c r="C173" s="43" t="n"/>
      <x:c r="D173" s="44" t="n"/>
      <x:c r="E173" s="44" t="n"/>
      <x:c r="F173" s="44" t="n"/>
      <x:c r="G173" s="44" t="n"/>
      <x:c r="H173" s="44" t="n"/>
      <x:c r="I173" s="44" t="n"/>
      <x:c r="J173" s="44" t="n"/>
      <x:c r="K173" s="44" t="n"/>
      <x:c r="L173" s="45">
        <x:f>IF(COUNTA(F173:K173)=0,"",SUM(F173:K173))</x:f>
      </x:c>
      <x:c r="M173" s="46" t="n"/>
    </x:row>
    <x:row r="174">
      <x:c r="A174" s="42" t="n"/>
      <x:c r="B174" s="43" t="n"/>
      <x:c r="C174" s="43" t="n"/>
      <x:c r="D174" s="44" t="n"/>
      <x:c r="E174" s="44" t="n"/>
      <x:c r="F174" s="44" t="n"/>
      <x:c r="G174" s="44" t="n"/>
      <x:c r="H174" s="44" t="n"/>
      <x:c r="I174" s="44" t="n"/>
      <x:c r="J174" s="44" t="n"/>
      <x:c r="K174" s="44" t="n"/>
      <x:c r="L174" s="45">
        <x:f>IF(COUNTA(F174:K174)=0,"",SUM(F174:K174))</x:f>
      </x:c>
      <x:c r="M174" s="46" t="n"/>
    </x:row>
    <x:row r="175">
      <x:c r="A175" s="42" t="n"/>
      <x:c r="B175" s="43" t="n"/>
      <x:c r="C175" s="43" t="n"/>
      <x:c r="D175" s="44" t="n"/>
      <x:c r="E175" s="44" t="n"/>
      <x:c r="F175" s="44" t="n"/>
      <x:c r="G175" s="44" t="n"/>
      <x:c r="H175" s="44" t="n"/>
      <x:c r="I175" s="44" t="n"/>
      <x:c r="J175" s="44" t="n"/>
      <x:c r="K175" s="44" t="n"/>
      <x:c r="L175" s="45">
        <x:f>IF(COUNTA(F175:K175)=0,"",SUM(F175:K175))</x:f>
      </x:c>
      <x:c r="M175" s="46" t="n"/>
    </x:row>
    <x:row r="176">
      <x:c r="A176" s="42" t="n"/>
      <x:c r="B176" s="43" t="n"/>
      <x:c r="C176" s="43" t="n"/>
      <x:c r="D176" s="44" t="n"/>
      <x:c r="E176" s="44" t="n"/>
      <x:c r="F176" s="44" t="n"/>
      <x:c r="G176" s="44" t="n"/>
      <x:c r="H176" s="44" t="n"/>
      <x:c r="I176" s="44" t="n"/>
      <x:c r="J176" s="44" t="n"/>
      <x:c r="K176" s="44" t="n"/>
      <x:c r="L176" s="45">
        <x:f>IF(COUNTA(F176:K176)=0,"",SUM(F176:K176))</x:f>
      </x:c>
      <x:c r="M176" s="46" t="n"/>
    </x:row>
    <x:row r="177">
      <x:c r="A177" s="42" t="n"/>
      <x:c r="B177" s="43" t="n"/>
      <x:c r="C177" s="43" t="n"/>
      <x:c r="D177" s="44" t="n"/>
      <x:c r="E177" s="44" t="n"/>
      <x:c r="F177" s="44" t="n"/>
      <x:c r="G177" s="44" t="n"/>
      <x:c r="H177" s="44" t="n"/>
      <x:c r="I177" s="44" t="n"/>
      <x:c r="J177" s="44" t="n"/>
      <x:c r="K177" s="44" t="n"/>
      <x:c r="L177" s="45">
        <x:f>IF(COUNTA(F177:K177)=0,"",SUM(F177:K177))</x:f>
      </x:c>
      <x:c r="M177" s="46" t="n"/>
    </x:row>
    <x:row r="178">
      <x:c r="A178" s="42" t="n"/>
      <x:c r="B178" s="43" t="n"/>
      <x:c r="C178" s="43" t="n"/>
      <x:c r="D178" s="44" t="n"/>
      <x:c r="E178" s="44" t="n"/>
      <x:c r="F178" s="44" t="n"/>
      <x:c r="G178" s="44" t="n"/>
      <x:c r="H178" s="44" t="n"/>
      <x:c r="I178" s="44" t="n"/>
      <x:c r="J178" s="44" t="n"/>
      <x:c r="K178" s="44" t="n"/>
      <x:c r="L178" s="45">
        <x:f>IF(COUNTA(F178:K178)=0,"",SUM(F178:K178))</x:f>
      </x:c>
      <x:c r="M178" s="46" t="n"/>
    </x:row>
    <x:row r="179">
      <x:c r="A179" s="42" t="n"/>
      <x:c r="B179" s="43" t="n"/>
      <x:c r="C179" s="43" t="n"/>
      <x:c r="D179" s="44" t="n"/>
      <x:c r="E179" s="44" t="n"/>
      <x:c r="F179" s="44" t="n"/>
      <x:c r="G179" s="44" t="n"/>
      <x:c r="H179" s="44" t="n"/>
      <x:c r="I179" s="44" t="n"/>
      <x:c r="J179" s="44" t="n"/>
      <x:c r="K179" s="44" t="n"/>
      <x:c r="L179" s="45">
        <x:f>IF(COUNTA(F179:K179)=0,"",SUM(F179:K179))</x:f>
      </x:c>
      <x:c r="M179" s="46" t="n"/>
    </x:row>
    <x:row r="180">
      <x:c r="A180" s="42" t="n"/>
      <x:c r="B180" s="43" t="n"/>
      <x:c r="C180" s="43" t="n"/>
      <x:c r="D180" s="44" t="n"/>
      <x:c r="E180" s="44" t="n"/>
      <x:c r="F180" s="44" t="n"/>
      <x:c r="G180" s="44" t="n"/>
      <x:c r="H180" s="44" t="n"/>
      <x:c r="I180" s="44" t="n"/>
      <x:c r="J180" s="44" t="n"/>
      <x:c r="K180" s="44" t="n"/>
      <x:c r="L180" s="45">
        <x:f>IF(COUNTA(F180:K180)=0,"",SUM(F180:K180))</x:f>
      </x:c>
      <x:c r="M180" s="46" t="n"/>
    </x:row>
    <x:row r="181">
      <x:c r="A181" s="42" t="n"/>
      <x:c r="B181" s="43" t="n"/>
      <x:c r="C181" s="43" t="n"/>
      <x:c r="D181" s="44" t="n"/>
      <x:c r="E181" s="44" t="n"/>
      <x:c r="F181" s="44" t="n"/>
      <x:c r="G181" s="44" t="n"/>
      <x:c r="H181" s="44" t="n"/>
      <x:c r="I181" s="44" t="n"/>
      <x:c r="J181" s="44" t="n"/>
      <x:c r="K181" s="44" t="n"/>
      <x:c r="L181" s="45">
        <x:f>IF(COUNTA(F181:K181)=0,"",SUM(F181:K181))</x:f>
      </x:c>
      <x:c r="M181" s="46" t="n"/>
    </x:row>
    <x:row r="182">
      <x:c r="A182" s="42" t="n"/>
      <x:c r="B182" s="43" t="n"/>
      <x:c r="C182" s="43" t="n"/>
      <x:c r="D182" s="44" t="n"/>
      <x:c r="E182" s="44" t="n"/>
      <x:c r="F182" s="44" t="n"/>
      <x:c r="G182" s="44" t="n"/>
      <x:c r="H182" s="44" t="n"/>
      <x:c r="I182" s="44" t="n"/>
      <x:c r="J182" s="44" t="n"/>
      <x:c r="K182" s="44" t="n"/>
      <x:c r="L182" s="45">
        <x:f>IF(COUNTA(F182:K182)=0,"",SUM(F182:K182))</x:f>
      </x:c>
      <x:c r="M182" s="46" t="n"/>
    </x:row>
    <x:row r="183">
      <x:c r="A183" s="42" t="n"/>
      <x:c r="B183" s="43" t="n"/>
      <x:c r="C183" s="43" t="n"/>
      <x:c r="D183" s="44" t="n"/>
      <x:c r="E183" s="44" t="n"/>
      <x:c r="F183" s="44" t="n"/>
      <x:c r="G183" s="44" t="n"/>
      <x:c r="H183" s="44" t="n"/>
      <x:c r="I183" s="44" t="n"/>
      <x:c r="J183" s="44" t="n"/>
      <x:c r="K183" s="44" t="n"/>
      <x:c r="L183" s="45">
        <x:f>IF(COUNTA(F183:K183)=0,"",SUM(F183:K183))</x:f>
      </x:c>
      <x:c r="M183" s="46" t="n"/>
    </x:row>
    <x:row r="184">
      <x:c r="A184" s="42" t="n"/>
      <x:c r="B184" s="43" t="n"/>
      <x:c r="C184" s="43" t="n"/>
      <x:c r="D184" s="44" t="n"/>
      <x:c r="E184" s="44" t="n"/>
      <x:c r="F184" s="44" t="n"/>
      <x:c r="G184" s="44" t="n"/>
      <x:c r="H184" s="44" t="n"/>
      <x:c r="I184" s="44" t="n"/>
      <x:c r="J184" s="44" t="n"/>
      <x:c r="K184" s="44" t="n"/>
      <x:c r="L184" s="45">
        <x:f>IF(COUNTA(F184:K184)=0,"",SUM(F184:K184))</x:f>
      </x:c>
      <x:c r="M184" s="46" t="n"/>
    </x:row>
    <x:row r="185">
      <x:c r="A185" s="42" t="n"/>
      <x:c r="B185" s="43" t="n"/>
      <x:c r="C185" s="43" t="n"/>
      <x:c r="D185" s="44" t="n"/>
      <x:c r="E185" s="44" t="n"/>
      <x:c r="F185" s="44" t="n"/>
      <x:c r="G185" s="44" t="n"/>
      <x:c r="H185" s="44" t="n"/>
      <x:c r="I185" s="44" t="n"/>
      <x:c r="J185" s="44" t="n"/>
      <x:c r="K185" s="44" t="n"/>
      <x:c r="L185" s="45">
        <x:f>IF(COUNTA(F185:K185)=0,"",SUM(F185:K185))</x:f>
      </x:c>
      <x:c r="M185" s="46" t="n"/>
    </x:row>
    <x:row r="186">
      <x:c r="A186" s="42" t="n"/>
      <x:c r="B186" s="43" t="n"/>
      <x:c r="C186" s="43" t="n"/>
      <x:c r="D186" s="44" t="n"/>
      <x:c r="E186" s="44" t="n"/>
      <x:c r="F186" s="44" t="n"/>
      <x:c r="G186" s="44" t="n"/>
      <x:c r="H186" s="44" t="n"/>
      <x:c r="I186" s="44" t="n"/>
      <x:c r="J186" s="44" t="n"/>
      <x:c r="K186" s="44" t="n"/>
      <x:c r="L186" s="45">
        <x:f>IF(COUNTA(F186:K186)=0,"",SUM(F186:K186))</x:f>
      </x:c>
      <x:c r="M186" s="46" t="n"/>
    </x:row>
    <x:row r="187">
      <x:c r="A187" s="42" t="n"/>
      <x:c r="B187" s="43" t="n"/>
      <x:c r="C187" s="43" t="n"/>
      <x:c r="D187" s="44" t="n"/>
      <x:c r="E187" s="44" t="n"/>
      <x:c r="F187" s="44" t="n"/>
      <x:c r="G187" s="44" t="n"/>
      <x:c r="H187" s="44" t="n"/>
      <x:c r="I187" s="44" t="n"/>
      <x:c r="J187" s="44" t="n"/>
      <x:c r="K187" s="44" t="n"/>
      <x:c r="L187" s="45">
        <x:f>IF(COUNTA(F187:K187)=0,"",SUM(F187:K187))</x:f>
      </x:c>
      <x:c r="M187" s="46" t="n"/>
    </x:row>
    <x:row r="188">
      <x:c r="A188" s="42" t="n"/>
      <x:c r="B188" s="43" t="n"/>
      <x:c r="C188" s="43" t="n"/>
      <x:c r="D188" s="44" t="n"/>
      <x:c r="E188" s="44" t="n"/>
      <x:c r="F188" s="44" t="n"/>
      <x:c r="G188" s="44" t="n"/>
      <x:c r="H188" s="44" t="n"/>
      <x:c r="I188" s="44" t="n"/>
      <x:c r="J188" s="44" t="n"/>
      <x:c r="K188" s="44" t="n"/>
      <x:c r="L188" s="45">
        <x:f>IF(COUNTA(F188:K188)=0,"",SUM(F188:K188))</x:f>
      </x:c>
      <x:c r="M188" s="46" t="n"/>
    </x:row>
    <x:row r="189">
      <x:c r="A189" s="42" t="n"/>
      <x:c r="B189" s="43" t="n"/>
      <x:c r="C189" s="43" t="n"/>
      <x:c r="D189" s="44" t="n"/>
      <x:c r="E189" s="44" t="n"/>
      <x:c r="F189" s="44" t="n"/>
      <x:c r="G189" s="44" t="n"/>
      <x:c r="H189" s="44" t="n"/>
      <x:c r="I189" s="44" t="n"/>
      <x:c r="J189" s="44" t="n"/>
      <x:c r="K189" s="44" t="n"/>
      <x:c r="L189" s="45">
        <x:f>IF(COUNTA(F189:K189)=0,"",SUM(F189:K189))</x:f>
      </x:c>
      <x:c r="M189" s="46" t="n"/>
    </x:row>
    <x:row r="190">
      <x:c r="A190" s="42" t="n"/>
      <x:c r="B190" s="43" t="n"/>
      <x:c r="C190" s="43" t="n"/>
      <x:c r="D190" s="44" t="n"/>
      <x:c r="E190" s="44" t="n"/>
      <x:c r="F190" s="44" t="n"/>
      <x:c r="G190" s="44" t="n"/>
      <x:c r="H190" s="44" t="n"/>
      <x:c r="I190" s="44" t="n"/>
      <x:c r="J190" s="44" t="n"/>
      <x:c r="K190" s="44" t="n"/>
      <x:c r="L190" s="45">
        <x:f>IF(COUNTA(F190:K190)=0,"",SUM(F190:K190))</x:f>
      </x:c>
      <x:c r="M190" s="46" t="n"/>
    </x:row>
    <x:row r="191">
      <x:c r="A191" s="42" t="n"/>
      <x:c r="B191" s="43" t="n"/>
      <x:c r="C191" s="43" t="n"/>
      <x:c r="D191" s="44" t="n"/>
      <x:c r="E191" s="44" t="n"/>
      <x:c r="F191" s="44" t="n"/>
      <x:c r="G191" s="44" t="n"/>
      <x:c r="H191" s="44" t="n"/>
      <x:c r="I191" s="44" t="n"/>
      <x:c r="J191" s="44" t="n"/>
      <x:c r="K191" s="44" t="n"/>
      <x:c r="L191" s="45">
        <x:f>IF(COUNTA(F191:K191)=0,"",SUM(F191:K191))</x:f>
      </x:c>
      <x:c r="M191" s="46" t="n"/>
    </x:row>
    <x:row r="192">
      <x:c r="A192" s="42" t="n"/>
      <x:c r="B192" s="43" t="n"/>
      <x:c r="C192" s="43" t="n"/>
      <x:c r="D192" s="44" t="n"/>
      <x:c r="E192" s="44" t="n"/>
      <x:c r="F192" s="44" t="n"/>
      <x:c r="G192" s="44" t="n"/>
      <x:c r="H192" s="44" t="n"/>
      <x:c r="I192" s="44" t="n"/>
      <x:c r="J192" s="44" t="n"/>
      <x:c r="K192" s="44" t="n"/>
      <x:c r="L192" s="45">
        <x:f>IF(COUNTA(F192:K192)=0,"",SUM(F192:K192))</x:f>
      </x:c>
      <x:c r="M192" s="46" t="n"/>
    </x:row>
    <x:row r="193">
      <x:c r="A193" s="42" t="n"/>
      <x:c r="B193" s="43" t="n"/>
      <x:c r="C193" s="43" t="n"/>
      <x:c r="D193" s="44" t="n"/>
      <x:c r="E193" s="44" t="n"/>
      <x:c r="F193" s="44" t="n"/>
      <x:c r="G193" s="44" t="n"/>
      <x:c r="H193" s="44" t="n"/>
      <x:c r="I193" s="44" t="n"/>
      <x:c r="J193" s="44" t="n"/>
      <x:c r="K193" s="44" t="n"/>
      <x:c r="L193" s="45">
        <x:f>IF(COUNTA(F193:K193)=0,"",SUM(F193:K193))</x:f>
      </x:c>
      <x:c r="M193" s="46" t="n"/>
    </x:row>
    <x:row r="194">
      <x:c r="A194" s="42" t="n"/>
      <x:c r="B194" s="43" t="n"/>
      <x:c r="C194" s="43" t="n"/>
      <x:c r="D194" s="44" t="n"/>
      <x:c r="E194" s="44" t="n"/>
      <x:c r="F194" s="44" t="n"/>
      <x:c r="G194" s="44" t="n"/>
      <x:c r="H194" s="44" t="n"/>
      <x:c r="I194" s="44" t="n"/>
      <x:c r="J194" s="44" t="n"/>
      <x:c r="K194" s="44" t="n"/>
      <x:c r="L194" s="45">
        <x:f>IF(COUNTA(F194:K194)=0,"",SUM(F194:K194))</x:f>
      </x:c>
      <x:c r="M194" s="46" t="n"/>
    </x:row>
    <x:row r="195">
      <x:c r="A195" s="42" t="n"/>
      <x:c r="B195" s="43" t="n"/>
      <x:c r="C195" s="43" t="n"/>
      <x:c r="D195" s="44" t="n"/>
      <x:c r="E195" s="44" t="n"/>
      <x:c r="F195" s="44" t="n"/>
      <x:c r="G195" s="44" t="n"/>
      <x:c r="H195" s="44" t="n"/>
      <x:c r="I195" s="44" t="n"/>
      <x:c r="J195" s="44" t="n"/>
      <x:c r="K195" s="44" t="n"/>
      <x:c r="L195" s="45">
        <x:f>IF(COUNTA(F195:K195)=0,"",SUM(F195:K195))</x:f>
      </x:c>
      <x:c r="M195" s="46" t="n"/>
    </x:row>
    <x:row r="196">
      <x:c r="A196" s="42" t="n"/>
      <x:c r="B196" s="43" t="n"/>
      <x:c r="C196" s="43" t="n"/>
      <x:c r="D196" s="44" t="n"/>
      <x:c r="E196" s="44" t="n"/>
      <x:c r="F196" s="44" t="n"/>
      <x:c r="G196" s="44" t="n"/>
      <x:c r="H196" s="44" t="n"/>
      <x:c r="I196" s="44" t="n"/>
      <x:c r="J196" s="44" t="n"/>
      <x:c r="K196" s="44" t="n"/>
      <x:c r="L196" s="45">
        <x:f>IF(COUNTA(F196:K196)=0,"",SUM(F196:K196))</x:f>
      </x:c>
      <x:c r="M196" s="46" t="n"/>
    </x:row>
    <x:row r="197">
      <x:c r="A197" s="42" t="n"/>
      <x:c r="B197" s="43" t="n"/>
      <x:c r="C197" s="43" t="n"/>
      <x:c r="D197" s="44" t="n"/>
      <x:c r="E197" s="44" t="n"/>
      <x:c r="F197" s="44" t="n"/>
      <x:c r="G197" s="44" t="n"/>
      <x:c r="H197" s="44" t="n"/>
      <x:c r="I197" s="44" t="n"/>
      <x:c r="J197" s="44" t="n"/>
      <x:c r="K197" s="44" t="n"/>
      <x:c r="L197" s="45">
        <x:f>IF(COUNTA(F197:K197)=0,"",SUM(F197:K197))</x:f>
      </x:c>
      <x:c r="M197" s="46" t="n"/>
    </x:row>
    <x:row r="198">
      <x:c r="A198" s="42" t="n"/>
      <x:c r="B198" s="43" t="n"/>
      <x:c r="C198" s="43" t="n"/>
      <x:c r="D198" s="44" t="n"/>
      <x:c r="E198" s="44" t="n"/>
      <x:c r="F198" s="44" t="n"/>
      <x:c r="G198" s="44" t="n"/>
      <x:c r="H198" s="44" t="n"/>
      <x:c r="I198" s="44" t="n"/>
      <x:c r="J198" s="44" t="n"/>
      <x:c r="K198" s="44" t="n"/>
      <x:c r="L198" s="45">
        <x:f>IF(COUNTA(F198:K198)=0,"",SUM(F198:K198))</x:f>
      </x:c>
      <x:c r="M198" s="46" t="n"/>
    </x:row>
    <x:row r="199">
      <x:c r="A199" s="42" t="n"/>
      <x:c r="B199" s="43" t="n"/>
      <x:c r="C199" s="43" t="n"/>
      <x:c r="D199" s="44" t="n"/>
      <x:c r="E199" s="44" t="n"/>
      <x:c r="F199" s="44" t="n"/>
      <x:c r="G199" s="44" t="n"/>
      <x:c r="H199" s="44" t="n"/>
      <x:c r="I199" s="44" t="n"/>
      <x:c r="J199" s="44" t="n"/>
      <x:c r="K199" s="44" t="n"/>
      <x:c r="L199" s="45">
        <x:f>IF(COUNTA(F199:K199)=0,"",SUM(F199:K199))</x:f>
      </x:c>
      <x:c r="M199" s="46" t="n"/>
    </x:row>
    <x:row r="200">
      <x:c r="A200" s="42" t="n"/>
      <x:c r="B200" s="43" t="n"/>
      <x:c r="C200" s="43" t="n"/>
      <x:c r="D200" s="44" t="n"/>
      <x:c r="E200" s="44" t="n"/>
      <x:c r="F200" s="44" t="n"/>
      <x:c r="G200" s="44" t="n"/>
      <x:c r="H200" s="44" t="n"/>
      <x:c r="I200" s="44" t="n"/>
      <x:c r="J200" s="44" t="n"/>
      <x:c r="K200" s="44" t="n"/>
      <x:c r="L200" s="45">
        <x:f>IF(COUNTA(F200:K200)=0,"",SUM(F200:K200))</x:f>
      </x:c>
      <x:c r="M200" s="46" t="n"/>
    </x:row>
    <x:row r="201">
      <x:c r="A201" s="42" t="n"/>
      <x:c r="B201" s="43" t="n"/>
      <x:c r="C201" s="43" t="n"/>
      <x:c r="D201" s="44" t="n"/>
      <x:c r="E201" s="44" t="n"/>
      <x:c r="F201" s="44" t="n"/>
      <x:c r="G201" s="44" t="n"/>
      <x:c r="H201" s="44" t="n"/>
      <x:c r="I201" s="44" t="n"/>
      <x:c r="J201" s="44" t="n"/>
      <x:c r="K201" s="44" t="n"/>
      <x:c r="L201" s="45">
        <x:f>IF(COUNTA(F201:K201)=0,"",SUM(F201:K201))</x:f>
      </x:c>
      <x:c r="M201" s="46" t="n"/>
    </x:row>
    <x:row r="202">
      <x:c r="A202" s="42" t="n"/>
      <x:c r="B202" s="43" t="n"/>
      <x:c r="C202" s="43" t="n"/>
      <x:c r="D202" s="44" t="n"/>
      <x:c r="E202" s="44" t="n"/>
      <x:c r="F202" s="44" t="n"/>
      <x:c r="G202" s="44" t="n"/>
      <x:c r="H202" s="44" t="n"/>
      <x:c r="I202" s="44" t="n"/>
      <x:c r="J202" s="44" t="n"/>
      <x:c r="K202" s="44" t="n"/>
      <x:c r="L202" s="45">
        <x:f>IF(COUNTA(F202:K202)=0,"",SUM(F202:K202))</x:f>
      </x:c>
      <x:c r="M202" s="46" t="n"/>
    </x:row>
    <x:row r="203">
      <x:c r="A203" s="42" t="n"/>
      <x:c r="B203" s="43" t="n"/>
      <x:c r="C203" s="43" t="n"/>
      <x:c r="D203" s="44" t="n"/>
      <x:c r="E203" s="44" t="n"/>
      <x:c r="F203" s="44" t="n"/>
      <x:c r="G203" s="44" t="n"/>
      <x:c r="H203" s="44" t="n"/>
      <x:c r="I203" s="44" t="n"/>
      <x:c r="J203" s="44" t="n"/>
      <x:c r="K203" s="44" t="n"/>
      <x:c r="L203" s="45">
        <x:f>IF(COUNTA(F203:K203)=0,"",SUM(F203:K203))</x:f>
      </x:c>
      <x:c r="M203" s="46" t="n"/>
    </x:row>
    <x:row r="204">
      <x:c r="A204" s="42" t="n"/>
      <x:c r="B204" s="43" t="n"/>
      <x:c r="C204" s="43" t="n"/>
      <x:c r="D204" s="44" t="n"/>
      <x:c r="E204" s="44" t="n"/>
      <x:c r="F204" s="44" t="n"/>
      <x:c r="G204" s="44" t="n"/>
      <x:c r="H204" s="44" t="n"/>
      <x:c r="I204" s="44" t="n"/>
      <x:c r="J204" s="44" t="n"/>
      <x:c r="K204" s="44" t="n"/>
      <x:c r="L204" s="45">
        <x:f>IF(COUNTA(F204:K204)=0,"",SUM(F204:K204))</x:f>
      </x:c>
      <x:c r="M204" s="46" t="n"/>
    </x:row>
    <x:row r="205">
      <x:c r="A205" s="42" t="n"/>
      <x:c r="B205" s="43" t="n"/>
      <x:c r="C205" s="43" t="n"/>
      <x:c r="D205" s="44" t="n"/>
      <x:c r="E205" s="44" t="n"/>
      <x:c r="F205" s="44" t="n"/>
      <x:c r="G205" s="44" t="n"/>
      <x:c r="H205" s="44" t="n"/>
      <x:c r="I205" s="44" t="n"/>
      <x:c r="J205" s="44" t="n"/>
      <x:c r="K205" s="44" t="n"/>
      <x:c r="L205" s="45">
        <x:f>IF(COUNTA(F205:K205)=0,"",SUM(F205:K205))</x:f>
      </x:c>
      <x:c r="M205" s="46" t="n"/>
    </x:row>
  </x:sheetData>
  <x:mergeCells>
    <x:mergeCell ref="A3:M3"/>
    <x:mergeCell ref="A2:M2"/>
    <x:mergeCell ref="A1:M1"/>
  </x:mergeCells>
  <x:dataValidations count="2">
    <x:dataValidation type="list" allowBlank="1" showDropDown="0" showInputMessage="0" showErrorMessage="0" sqref="B6:B205">
      <x:formula1>=Lists!$B$3:$B$4</x:formula1>
    </x:dataValidation>
    <x:dataValidation type="list" allowBlank="1" showDropDown="0" showInputMessage="0" showErrorMessage="0" sqref="D6:D205">
      <x:formula1>=Lists!$A$3:$A$16</x:formula1>
    </x:dataValidation>
  </x:dataValidations>
  <x:pageMargins left="0.7" right="0.7" top="0.75" bottom="0.75" header="0.3" footer="0.3"/>
  <x:legacyDrawing xmlns:r="http://schemas.openxmlformats.org/officeDocument/2006/relationships" r:id="R0154c25d54eb478b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4" customWidth="1"/>
    <x:col min="3" max="3" width="16" customWidth="1"/>
    <x:col min="4" max="4" width="22" customWidth="1"/>
    <x:col min="5" max="5" width="18" customWidth="1"/>
    <x:col min="6" max="6" width="14" customWidth="1"/>
    <x:col min="7" max="7" width="14" customWidth="1"/>
    <x:col min="8" max="8" width="14" customWidth="1"/>
  </x:cols>
  <x:sheetData>
    <x:row r="1">
      <x:c r="A1" s="55" t="inlineStr">
        <x:is>
          <x:t xml:space="preserve">Сводка туров из InputPlayers</x:t>
        </x:is>
      </x:c>
      <x:c r="B1" s="55" t="n"/>
      <x:c r="C1" s="55" t="n"/>
      <x:c r="D1" s="55" t="n"/>
      <x:c r="E1" s="55" t="n"/>
      <x:c r="F1" s="55" t="n"/>
      <x:c r="G1" s="55" t="n"/>
      <x:c r="H1" s="55" t="n"/>
    </x:row>
    <x:row r="2">
      <x:c r="A2" s="55" t="inlineStr">
        <x:is>
          <x:t xml:space="preserve">Здесь каждая строка = один тур одного участника, собранный автоматически из детального ввода.</x:t>
        </x:is>
      </x:c>
      <x:c r="B2" s="55" t="n"/>
      <x:c r="C2" s="55" t="n"/>
      <x:c r="D2" s="55" t="n"/>
      <x:c r="E2" s="55" t="n"/>
      <x:c r="F2" s="55" t="n"/>
      <x:c r="G2" s="55" t="n"/>
      <x:c r="H2" s="55" t="n"/>
    </x:row>
    <x:row r="3">
      <x:c r="A3" s="55" t="n"/>
      <x:c r="B3" s="55" t="n"/>
      <x:c r="C3" s="55" t="n"/>
      <x:c r="D3" s="55" t="n"/>
      <x:c r="E3" s="55" t="n"/>
      <x:c r="F3" s="55" t="n"/>
      <x:c r="G3" s="55" t="n"/>
      <x:c r="H3" s="55" t="n"/>
    </x:row>
    <x:row r="4">
      <x:c r="A4" s="60" t="inlineStr">
        <x:is>
          <x:t xml:space="preserve">Дата</x:t>
        </x:is>
      </x:c>
      <x:c r="B4" s="60" t="inlineStr">
        <x:is>
          <x:t xml:space="preserve">Этап</x:t>
        </x:is>
      </x:c>
      <x:c r="C4" s="60" t="inlineStr">
        <x:is>
          <x:t xml:space="preserve">Раунд</x:t>
        </x:is>
      </x:c>
      <x:c r="D4" s="60" t="inlineStr">
        <x:is>
          <x:t xml:space="preserve">Участник</x:t>
        </x:is>
      </x:c>
      <x:c r="E4" s="60" t="inlineStr">
        <x:is>
          <x:t xml:space="preserve">Команда участника</x:t>
        </x:is>
      </x:c>
      <x:c r="F4" s="60" t="inlineStr">
        <x:is>
          <x:t xml:space="preserve">Игроков в туре</x:t>
        </x:is>
      </x:c>
      <x:c r="G4" s="60" t="inlineStr">
        <x:is>
          <x:t xml:space="preserve">Очки тура</x:t>
        </x:is>
      </x:c>
      <x:c r="H4" s="60" t="inlineStr">
        <x:is>
          <x:t xml:space="preserve">Ключ тура</x:t>
        </x:is>
      </x:c>
    </x:row>
    <x:row r="5">
      <x:c r="A5" s="42">
        <x:f>IF(H5="","",IF(COUNTIF($H$5:H5,H5)&gt;1,"",InputPlayers!A6))</x:f>
      </x:c>
      <x:c r="B5" s="43">
        <x:f>IF($A5="","",InputPlayers!B6)</x:f>
      </x:c>
      <x:c r="C5" s="43">
        <x:f>IF($A5="","",InputPlayers!C6)</x:f>
      </x:c>
      <x:c r="D5" s="44">
        <x:f>IF($A5="","",InputPlayers!D6)</x:f>
      </x:c>
      <x:c r="E5" s="44">
        <x:f>IF($A5="","",InputPlayers!E6)</x:f>
      </x:c>
      <x:c r="F5" s="44">
        <x:f>IF($A5="","",COUNTIFS(InputPlayers!$A$6:$A$305,$A5,InputPlayers!$B$6:$B$305,$B5,InputPlayers!$C$6:$C$305,$C5,InputPlayers!$D$6:$D$305,$D5,InputPlayers!$O$6:$O$305,"Да"))</x:f>
      </x:c>
      <x:c r="G5" s="44">
        <x:f>IF($A5="","",SUMIFS(InputPlayers!$N$6:$N$305,InputPlayers!$A$6:$A$305,$A5,InputPlayers!$B$6:$B$305,$B5,InputPlayers!$C$6:$C$305,$C5,InputPlayers!$D$6:$D$305,$D5,InputPlayers!$O$6:$O$305,"Да"))</x:f>
      </x:c>
      <x:c r="H5" s="44">
        <x:f>IF(InputPlayers!A6="","",TEXT(InputPlayers!A6,"dd.mm.yyyy")&amp;"|"&amp;InputPlayers!B6&amp;"|"&amp;InputPlayers!C6&amp;"|"&amp;InputPlayers!D6)</x:f>
      </x:c>
    </x:row>
    <x:row r="6">
      <x:c r="A6" s="42">
        <x:f>IF(H6="","",IF(COUNTIF($H$5:H6,H6)&gt;1,"",InputPlayers!A7))</x:f>
      </x:c>
      <x:c r="B6" s="43">
        <x:f>IF($A6="","",InputPlayers!B7)</x:f>
      </x:c>
      <x:c r="C6" s="43">
        <x:f>IF($A6="","",InputPlayers!C7)</x:f>
      </x:c>
      <x:c r="D6" s="44">
        <x:f>IF($A6="","",InputPlayers!D7)</x:f>
      </x:c>
      <x:c r="E6" s="44">
        <x:f>IF($A6="","",InputPlayers!E7)</x:f>
      </x:c>
      <x:c r="F6" s="44">
        <x:f>IF($A6="","",COUNTIFS(InputPlayers!$A$6:$A$305,$A6,InputPlayers!$B$6:$B$305,$B6,InputPlayers!$C$6:$C$305,$C6,InputPlayers!$D$6:$D$305,$D6,InputPlayers!$O$6:$O$305,"Да"))</x:f>
      </x:c>
      <x:c r="G6" s="44">
        <x:f>IF($A6="","",SUMIFS(InputPlayers!$N$6:$N$305,InputPlayers!$A$6:$A$305,$A6,InputPlayers!$B$6:$B$305,$B6,InputPlayers!$C$6:$C$305,$C6,InputPlayers!$D$6:$D$305,$D6,InputPlayers!$O$6:$O$305,"Да"))</x:f>
      </x:c>
      <x:c r="H6" s="44">
        <x:f>IF(InputPlayers!A7="","",TEXT(InputPlayers!A7,"dd.mm.yyyy")&amp;"|"&amp;InputPlayers!B7&amp;"|"&amp;InputPlayers!C7&amp;"|"&amp;InputPlayers!D7)</x:f>
      </x:c>
    </x:row>
    <x:row r="7">
      <x:c r="A7" s="42">
        <x:f>IF(H7="","",IF(COUNTIF($H$5:H7,H7)&gt;1,"",InputPlayers!A8))</x:f>
      </x:c>
      <x:c r="B7" s="43">
        <x:f>IF($A7="","",InputPlayers!B8)</x:f>
      </x:c>
      <x:c r="C7" s="43">
        <x:f>IF($A7="","",InputPlayers!C8)</x:f>
      </x:c>
      <x:c r="D7" s="44">
        <x:f>IF($A7="","",InputPlayers!D8)</x:f>
      </x:c>
      <x:c r="E7" s="44">
        <x:f>IF($A7="","",InputPlayers!E8)</x:f>
      </x:c>
      <x:c r="F7" s="44">
        <x:f>IF($A7="","",COUNTIFS(InputPlayers!$A$6:$A$305,$A7,InputPlayers!$B$6:$B$305,$B7,InputPlayers!$C$6:$C$305,$C7,InputPlayers!$D$6:$D$305,$D7,InputPlayers!$O$6:$O$305,"Да"))</x:f>
      </x:c>
      <x:c r="G7" s="44">
        <x:f>IF($A7="","",SUMIFS(InputPlayers!$N$6:$N$305,InputPlayers!$A$6:$A$305,$A7,InputPlayers!$B$6:$B$305,$B7,InputPlayers!$C$6:$C$305,$C7,InputPlayers!$D$6:$D$305,$D7,InputPlayers!$O$6:$O$305,"Да"))</x:f>
      </x:c>
      <x:c r="H7" s="44">
        <x:f>IF(InputPlayers!A8="","",TEXT(InputPlayers!A8,"dd.mm.yyyy")&amp;"|"&amp;InputPlayers!B8&amp;"|"&amp;InputPlayers!C8&amp;"|"&amp;InputPlayers!D8)</x:f>
      </x:c>
    </x:row>
    <x:row r="8">
      <x:c r="A8" s="42">
        <x:f>IF(H8="","",IF(COUNTIF($H$5:H8,H8)&gt;1,"",InputPlayers!A9))</x:f>
      </x:c>
      <x:c r="B8" s="43">
        <x:f>IF($A8="","",InputPlayers!B9)</x:f>
      </x:c>
      <x:c r="C8" s="43">
        <x:f>IF($A8="","",InputPlayers!C9)</x:f>
      </x:c>
      <x:c r="D8" s="44">
        <x:f>IF($A8="","",InputPlayers!D9)</x:f>
      </x:c>
      <x:c r="E8" s="44">
        <x:f>IF($A8="","",InputPlayers!E9)</x:f>
      </x:c>
      <x:c r="F8" s="44">
        <x:f>IF($A8="","",COUNTIFS(InputPlayers!$A$6:$A$305,$A8,InputPlayers!$B$6:$B$305,$B8,InputPlayers!$C$6:$C$305,$C8,InputPlayers!$D$6:$D$305,$D8,InputPlayers!$O$6:$O$305,"Да"))</x:f>
      </x:c>
      <x:c r="G8" s="44">
        <x:f>IF($A8="","",SUMIFS(InputPlayers!$N$6:$N$305,InputPlayers!$A$6:$A$305,$A8,InputPlayers!$B$6:$B$305,$B8,InputPlayers!$C$6:$C$305,$C8,InputPlayers!$D$6:$D$305,$D8,InputPlayers!$O$6:$O$305,"Да"))</x:f>
      </x:c>
      <x:c r="H8" s="44">
        <x:f>IF(InputPlayers!A9="","",TEXT(InputPlayers!A9,"dd.mm.yyyy")&amp;"|"&amp;InputPlayers!B9&amp;"|"&amp;InputPlayers!C9&amp;"|"&amp;InputPlayers!D9)</x:f>
      </x:c>
    </x:row>
    <x:row r="9">
      <x:c r="A9" s="42">
        <x:f>IF(H9="","",IF(COUNTIF($H$5:H9,H9)&gt;1,"",InputPlayers!A10))</x:f>
      </x:c>
      <x:c r="B9" s="43">
        <x:f>IF($A9="","",InputPlayers!B10)</x:f>
      </x:c>
      <x:c r="C9" s="43">
        <x:f>IF($A9="","",InputPlayers!C10)</x:f>
      </x:c>
      <x:c r="D9" s="44">
        <x:f>IF($A9="","",InputPlayers!D10)</x:f>
      </x:c>
      <x:c r="E9" s="44">
        <x:f>IF($A9="","",InputPlayers!E10)</x:f>
      </x:c>
      <x:c r="F9" s="44">
        <x:f>IF($A9="","",COUNTIFS(InputPlayers!$A$6:$A$305,$A9,InputPlayers!$B$6:$B$305,$B9,InputPlayers!$C$6:$C$305,$C9,InputPlayers!$D$6:$D$305,$D9,InputPlayers!$O$6:$O$305,"Да"))</x:f>
      </x:c>
      <x:c r="G9" s="44">
        <x:f>IF($A9="","",SUMIFS(InputPlayers!$N$6:$N$305,InputPlayers!$A$6:$A$305,$A9,InputPlayers!$B$6:$B$305,$B9,InputPlayers!$C$6:$C$305,$C9,InputPlayers!$D$6:$D$305,$D9,InputPlayers!$O$6:$O$305,"Да"))</x:f>
      </x:c>
      <x:c r="H9" s="44">
        <x:f>IF(InputPlayers!A10="","",TEXT(InputPlayers!A10,"dd.mm.yyyy")&amp;"|"&amp;InputPlayers!B10&amp;"|"&amp;InputPlayers!C10&amp;"|"&amp;InputPlayers!D10)</x:f>
      </x:c>
    </x:row>
    <x:row r="10">
      <x:c r="A10" s="42">
        <x:f>IF(H10="","",IF(COUNTIF($H$5:H10,H10)&gt;1,"",InputPlayers!A11))</x:f>
      </x:c>
      <x:c r="B10" s="43">
        <x:f>IF($A10="","",InputPlayers!B11)</x:f>
      </x:c>
      <x:c r="C10" s="43">
        <x:f>IF($A10="","",InputPlayers!C11)</x:f>
      </x:c>
      <x:c r="D10" s="44">
        <x:f>IF($A10="","",InputPlayers!D11)</x:f>
      </x:c>
      <x:c r="E10" s="44">
        <x:f>IF($A10="","",InputPlayers!E11)</x:f>
      </x:c>
      <x:c r="F10" s="44">
        <x:f>IF($A10="","",COUNTIFS(InputPlayers!$A$6:$A$305,$A10,InputPlayers!$B$6:$B$305,$B10,InputPlayers!$C$6:$C$305,$C10,InputPlayers!$D$6:$D$305,$D10,InputPlayers!$O$6:$O$305,"Да"))</x:f>
      </x:c>
      <x:c r="G10" s="44">
        <x:f>IF($A10="","",SUMIFS(InputPlayers!$N$6:$N$305,InputPlayers!$A$6:$A$305,$A10,InputPlayers!$B$6:$B$305,$B10,InputPlayers!$C$6:$C$305,$C10,InputPlayers!$D$6:$D$305,$D10,InputPlayers!$O$6:$O$305,"Да"))</x:f>
      </x:c>
      <x:c r="H10" s="44">
        <x:f>IF(InputPlayers!A11="","",TEXT(InputPlayers!A11,"dd.mm.yyyy")&amp;"|"&amp;InputPlayers!B11&amp;"|"&amp;InputPlayers!C11&amp;"|"&amp;InputPlayers!D11)</x:f>
      </x:c>
    </x:row>
    <x:row r="11">
      <x:c r="A11" s="42">
        <x:f>IF(H11="","",IF(COUNTIF($H$5:H11,H11)&gt;1,"",InputPlayers!A12))</x:f>
      </x:c>
      <x:c r="B11" s="43">
        <x:f>IF($A11="","",InputPlayers!B12)</x:f>
      </x:c>
      <x:c r="C11" s="43">
        <x:f>IF($A11="","",InputPlayers!C12)</x:f>
      </x:c>
      <x:c r="D11" s="44">
        <x:f>IF($A11="","",InputPlayers!D12)</x:f>
      </x:c>
      <x:c r="E11" s="44">
        <x:f>IF($A11="","",InputPlayers!E12)</x:f>
      </x:c>
      <x:c r="F11" s="44">
        <x:f>IF($A11="","",COUNTIFS(InputPlayers!$A$6:$A$305,$A11,InputPlayers!$B$6:$B$305,$B11,InputPlayers!$C$6:$C$305,$C11,InputPlayers!$D$6:$D$305,$D11,InputPlayers!$O$6:$O$305,"Да"))</x:f>
      </x:c>
      <x:c r="G11" s="44">
        <x:f>IF($A11="","",SUMIFS(InputPlayers!$N$6:$N$305,InputPlayers!$A$6:$A$305,$A11,InputPlayers!$B$6:$B$305,$B11,InputPlayers!$C$6:$C$305,$C11,InputPlayers!$D$6:$D$305,$D11,InputPlayers!$O$6:$O$305,"Да"))</x:f>
      </x:c>
      <x:c r="H11" s="44">
        <x:f>IF(InputPlayers!A12="","",TEXT(InputPlayers!A12,"dd.mm.yyyy")&amp;"|"&amp;InputPlayers!B12&amp;"|"&amp;InputPlayers!C12&amp;"|"&amp;InputPlayers!D12)</x:f>
      </x:c>
    </x:row>
    <x:row r="12">
      <x:c r="A12" s="42">
        <x:f>IF(H12="","",IF(COUNTIF($H$5:H12,H12)&gt;1,"",InputPlayers!A13))</x:f>
      </x:c>
      <x:c r="B12" s="43">
        <x:f>IF($A12="","",InputPlayers!B13)</x:f>
      </x:c>
      <x:c r="C12" s="43">
        <x:f>IF($A12="","",InputPlayers!C13)</x:f>
      </x:c>
      <x:c r="D12" s="44">
        <x:f>IF($A12="","",InputPlayers!D13)</x:f>
      </x:c>
      <x:c r="E12" s="44">
        <x:f>IF($A12="","",InputPlayers!E13)</x:f>
      </x:c>
      <x:c r="F12" s="44">
        <x:f>IF($A12="","",COUNTIFS(InputPlayers!$A$6:$A$305,$A12,InputPlayers!$B$6:$B$305,$B12,InputPlayers!$C$6:$C$305,$C12,InputPlayers!$D$6:$D$305,$D12,InputPlayers!$O$6:$O$305,"Да"))</x:f>
      </x:c>
      <x:c r="G12" s="44">
        <x:f>IF($A12="","",SUMIFS(InputPlayers!$N$6:$N$305,InputPlayers!$A$6:$A$305,$A12,InputPlayers!$B$6:$B$305,$B12,InputPlayers!$C$6:$C$305,$C12,InputPlayers!$D$6:$D$305,$D12,InputPlayers!$O$6:$O$305,"Да"))</x:f>
      </x:c>
      <x:c r="H12" s="44">
        <x:f>IF(InputPlayers!A13="","",TEXT(InputPlayers!A13,"dd.mm.yyyy")&amp;"|"&amp;InputPlayers!B13&amp;"|"&amp;InputPlayers!C13&amp;"|"&amp;InputPlayers!D13)</x:f>
      </x:c>
    </x:row>
    <x:row r="13">
      <x:c r="A13" s="42">
        <x:f>IF(H13="","",IF(COUNTIF($H$5:H13,H13)&gt;1,"",InputPlayers!A14))</x:f>
      </x:c>
      <x:c r="B13" s="43">
        <x:f>IF($A13="","",InputPlayers!B14)</x:f>
      </x:c>
      <x:c r="C13" s="43">
        <x:f>IF($A13="","",InputPlayers!C14)</x:f>
      </x:c>
      <x:c r="D13" s="44">
        <x:f>IF($A13="","",InputPlayers!D14)</x:f>
      </x:c>
      <x:c r="E13" s="44">
        <x:f>IF($A13="","",InputPlayers!E14)</x:f>
      </x:c>
      <x:c r="F13" s="44">
        <x:f>IF($A13="","",COUNTIFS(InputPlayers!$A$6:$A$305,$A13,InputPlayers!$B$6:$B$305,$B13,InputPlayers!$C$6:$C$305,$C13,InputPlayers!$D$6:$D$305,$D13,InputPlayers!$O$6:$O$305,"Да"))</x:f>
      </x:c>
      <x:c r="G13" s="44">
        <x:f>IF($A13="","",SUMIFS(InputPlayers!$N$6:$N$305,InputPlayers!$A$6:$A$305,$A13,InputPlayers!$B$6:$B$305,$B13,InputPlayers!$C$6:$C$305,$C13,InputPlayers!$D$6:$D$305,$D13,InputPlayers!$O$6:$O$305,"Да"))</x:f>
      </x:c>
      <x:c r="H13" s="44">
        <x:f>IF(InputPlayers!A14="","",TEXT(InputPlayers!A14,"dd.mm.yyyy")&amp;"|"&amp;InputPlayers!B14&amp;"|"&amp;InputPlayers!C14&amp;"|"&amp;InputPlayers!D14)</x:f>
      </x:c>
    </x:row>
    <x:row r="14">
      <x:c r="A14" s="42">
        <x:f>IF(H14="","",IF(COUNTIF($H$5:H14,H14)&gt;1,"",InputPlayers!A15))</x:f>
      </x:c>
      <x:c r="B14" s="43">
        <x:f>IF($A14="","",InputPlayers!B15)</x:f>
      </x:c>
      <x:c r="C14" s="43">
        <x:f>IF($A14="","",InputPlayers!C15)</x:f>
      </x:c>
      <x:c r="D14" s="44">
        <x:f>IF($A14="","",InputPlayers!D15)</x:f>
      </x:c>
      <x:c r="E14" s="44">
        <x:f>IF($A14="","",InputPlayers!E15)</x:f>
      </x:c>
      <x:c r="F14" s="44">
        <x:f>IF($A14="","",COUNTIFS(InputPlayers!$A$6:$A$305,$A14,InputPlayers!$B$6:$B$305,$B14,InputPlayers!$C$6:$C$305,$C14,InputPlayers!$D$6:$D$305,$D14,InputPlayers!$O$6:$O$305,"Да"))</x:f>
      </x:c>
      <x:c r="G14" s="44">
        <x:f>IF($A14="","",SUMIFS(InputPlayers!$N$6:$N$305,InputPlayers!$A$6:$A$305,$A14,InputPlayers!$B$6:$B$305,$B14,InputPlayers!$C$6:$C$305,$C14,InputPlayers!$D$6:$D$305,$D14,InputPlayers!$O$6:$O$305,"Да"))</x:f>
      </x:c>
      <x:c r="H14" s="44">
        <x:f>IF(InputPlayers!A15="","",TEXT(InputPlayers!A15,"dd.mm.yyyy")&amp;"|"&amp;InputPlayers!B15&amp;"|"&amp;InputPlayers!C15&amp;"|"&amp;InputPlayers!D15)</x:f>
      </x:c>
    </x:row>
    <x:row r="15">
      <x:c r="A15" s="42">
        <x:f>IF(H15="","",IF(COUNTIF($H$5:H15,H15)&gt;1,"",InputPlayers!A16))</x:f>
      </x:c>
      <x:c r="B15" s="43">
        <x:f>IF($A15="","",InputPlayers!B16)</x:f>
      </x:c>
      <x:c r="C15" s="43">
        <x:f>IF($A15="","",InputPlayers!C16)</x:f>
      </x:c>
      <x:c r="D15" s="44">
        <x:f>IF($A15="","",InputPlayers!D16)</x:f>
      </x:c>
      <x:c r="E15" s="44">
        <x:f>IF($A15="","",InputPlayers!E16)</x:f>
      </x:c>
      <x:c r="F15" s="44">
        <x:f>IF($A15="","",COUNTIFS(InputPlayers!$A$6:$A$305,$A15,InputPlayers!$B$6:$B$305,$B15,InputPlayers!$C$6:$C$305,$C15,InputPlayers!$D$6:$D$305,$D15,InputPlayers!$O$6:$O$305,"Да"))</x:f>
      </x:c>
      <x:c r="G15" s="44">
        <x:f>IF($A15="","",SUMIFS(InputPlayers!$N$6:$N$305,InputPlayers!$A$6:$A$305,$A15,InputPlayers!$B$6:$B$305,$B15,InputPlayers!$C$6:$C$305,$C15,InputPlayers!$D$6:$D$305,$D15,InputPlayers!$O$6:$O$305,"Да"))</x:f>
      </x:c>
      <x:c r="H15" s="44">
        <x:f>IF(InputPlayers!A16="","",TEXT(InputPlayers!A16,"dd.mm.yyyy")&amp;"|"&amp;InputPlayers!B16&amp;"|"&amp;InputPlayers!C16&amp;"|"&amp;InputPlayers!D16)</x:f>
      </x:c>
    </x:row>
    <x:row r="16">
      <x:c r="A16" s="42">
        <x:f>IF(H16="","",IF(COUNTIF($H$5:H16,H16)&gt;1,"",InputPlayers!A17))</x:f>
      </x:c>
      <x:c r="B16" s="43">
        <x:f>IF($A16="","",InputPlayers!B17)</x:f>
      </x:c>
      <x:c r="C16" s="43">
        <x:f>IF($A16="","",InputPlayers!C17)</x:f>
      </x:c>
      <x:c r="D16" s="44">
        <x:f>IF($A16="","",InputPlayers!D17)</x:f>
      </x:c>
      <x:c r="E16" s="44">
        <x:f>IF($A16="","",InputPlayers!E17)</x:f>
      </x:c>
      <x:c r="F16" s="44">
        <x:f>IF($A16="","",COUNTIFS(InputPlayers!$A$6:$A$305,$A16,InputPlayers!$B$6:$B$305,$B16,InputPlayers!$C$6:$C$305,$C16,InputPlayers!$D$6:$D$305,$D16,InputPlayers!$O$6:$O$305,"Да"))</x:f>
      </x:c>
      <x:c r="G16" s="44">
        <x:f>IF($A16="","",SUMIFS(InputPlayers!$N$6:$N$305,InputPlayers!$A$6:$A$305,$A16,InputPlayers!$B$6:$B$305,$B16,InputPlayers!$C$6:$C$305,$C16,InputPlayers!$D$6:$D$305,$D16,InputPlayers!$O$6:$O$305,"Да"))</x:f>
      </x:c>
      <x:c r="H16" s="44">
        <x:f>IF(InputPlayers!A17="","",TEXT(InputPlayers!A17,"dd.mm.yyyy")&amp;"|"&amp;InputPlayers!B17&amp;"|"&amp;InputPlayers!C17&amp;"|"&amp;InputPlayers!D17)</x:f>
      </x:c>
    </x:row>
    <x:row r="17">
      <x:c r="A17" s="42">
        <x:f>IF(H17="","",IF(COUNTIF($H$5:H17,H17)&gt;1,"",InputPlayers!A18))</x:f>
      </x:c>
      <x:c r="B17" s="43">
        <x:f>IF($A17="","",InputPlayers!B18)</x:f>
      </x:c>
      <x:c r="C17" s="43">
        <x:f>IF($A17="","",InputPlayers!C18)</x:f>
      </x:c>
      <x:c r="D17" s="44">
        <x:f>IF($A17="","",InputPlayers!D18)</x:f>
      </x:c>
      <x:c r="E17" s="44">
        <x:f>IF($A17="","",InputPlayers!E18)</x:f>
      </x:c>
      <x:c r="F17" s="44">
        <x:f>IF($A17="","",COUNTIFS(InputPlayers!$A$6:$A$305,$A17,InputPlayers!$B$6:$B$305,$B17,InputPlayers!$C$6:$C$305,$C17,InputPlayers!$D$6:$D$305,$D17,InputPlayers!$O$6:$O$305,"Да"))</x:f>
      </x:c>
      <x:c r="G17" s="44">
        <x:f>IF($A17="","",SUMIFS(InputPlayers!$N$6:$N$305,InputPlayers!$A$6:$A$305,$A17,InputPlayers!$B$6:$B$305,$B17,InputPlayers!$C$6:$C$305,$C17,InputPlayers!$D$6:$D$305,$D17,InputPlayers!$O$6:$O$305,"Да"))</x:f>
      </x:c>
      <x:c r="H17" s="44">
        <x:f>IF(InputPlayers!A18="","",TEXT(InputPlayers!A18,"dd.mm.yyyy")&amp;"|"&amp;InputPlayers!B18&amp;"|"&amp;InputPlayers!C18&amp;"|"&amp;InputPlayers!D18)</x:f>
      </x:c>
    </x:row>
    <x:row r="18">
      <x:c r="A18" s="42">
        <x:f>IF(H18="","",IF(COUNTIF($H$5:H18,H18)&gt;1,"",InputPlayers!A19))</x:f>
      </x:c>
      <x:c r="B18" s="43">
        <x:f>IF($A18="","",InputPlayers!B19)</x:f>
      </x:c>
      <x:c r="C18" s="43">
        <x:f>IF($A18="","",InputPlayers!C19)</x:f>
      </x:c>
      <x:c r="D18" s="44">
        <x:f>IF($A18="","",InputPlayers!D19)</x:f>
      </x:c>
      <x:c r="E18" s="44">
        <x:f>IF($A18="","",InputPlayers!E19)</x:f>
      </x:c>
      <x:c r="F18" s="44">
        <x:f>IF($A18="","",COUNTIFS(InputPlayers!$A$6:$A$305,$A18,InputPlayers!$B$6:$B$305,$B18,InputPlayers!$C$6:$C$305,$C18,InputPlayers!$D$6:$D$305,$D18,InputPlayers!$O$6:$O$305,"Да"))</x:f>
      </x:c>
      <x:c r="G18" s="44">
        <x:f>IF($A18="","",SUMIFS(InputPlayers!$N$6:$N$305,InputPlayers!$A$6:$A$305,$A18,InputPlayers!$B$6:$B$305,$B18,InputPlayers!$C$6:$C$305,$C18,InputPlayers!$D$6:$D$305,$D18,InputPlayers!$O$6:$O$305,"Да"))</x:f>
      </x:c>
      <x:c r="H18" s="44">
        <x:f>IF(InputPlayers!A19="","",TEXT(InputPlayers!A19,"dd.mm.yyyy")&amp;"|"&amp;InputPlayers!B19&amp;"|"&amp;InputPlayers!C19&amp;"|"&amp;InputPlayers!D19)</x:f>
      </x:c>
    </x:row>
    <x:row r="19">
      <x:c r="A19" s="42">
        <x:f>IF(H19="","",IF(COUNTIF($H$5:H19,H19)&gt;1,"",InputPlayers!A20))</x:f>
      </x:c>
      <x:c r="B19" s="43">
        <x:f>IF($A19="","",InputPlayers!B20)</x:f>
      </x:c>
      <x:c r="C19" s="43">
        <x:f>IF($A19="","",InputPlayers!C20)</x:f>
      </x:c>
      <x:c r="D19" s="44">
        <x:f>IF($A19="","",InputPlayers!D20)</x:f>
      </x:c>
      <x:c r="E19" s="44">
        <x:f>IF($A19="","",InputPlayers!E20)</x:f>
      </x:c>
      <x:c r="F19" s="44">
        <x:f>IF($A19="","",COUNTIFS(InputPlayers!$A$6:$A$305,$A19,InputPlayers!$B$6:$B$305,$B19,InputPlayers!$C$6:$C$305,$C19,InputPlayers!$D$6:$D$305,$D19,InputPlayers!$O$6:$O$305,"Да"))</x:f>
      </x:c>
      <x:c r="G19" s="44">
        <x:f>IF($A19="","",SUMIFS(InputPlayers!$N$6:$N$305,InputPlayers!$A$6:$A$305,$A19,InputPlayers!$B$6:$B$305,$B19,InputPlayers!$C$6:$C$305,$C19,InputPlayers!$D$6:$D$305,$D19,InputPlayers!$O$6:$O$305,"Да"))</x:f>
      </x:c>
      <x:c r="H19" s="44">
        <x:f>IF(InputPlayers!A20="","",TEXT(InputPlayers!A20,"dd.mm.yyyy")&amp;"|"&amp;InputPlayers!B20&amp;"|"&amp;InputPlayers!C20&amp;"|"&amp;InputPlayers!D20)</x:f>
      </x:c>
    </x:row>
    <x:row r="20">
      <x:c r="A20" s="42">
        <x:f>IF(H20="","",IF(COUNTIF($H$5:H20,H20)&gt;1,"",InputPlayers!A21))</x:f>
      </x:c>
      <x:c r="B20" s="43">
        <x:f>IF($A20="","",InputPlayers!B21)</x:f>
      </x:c>
      <x:c r="C20" s="43">
        <x:f>IF($A20="","",InputPlayers!C21)</x:f>
      </x:c>
      <x:c r="D20" s="44">
        <x:f>IF($A20="","",InputPlayers!D21)</x:f>
      </x:c>
      <x:c r="E20" s="44">
        <x:f>IF($A20="","",InputPlayers!E21)</x:f>
      </x:c>
      <x:c r="F20" s="44">
        <x:f>IF($A20="","",COUNTIFS(InputPlayers!$A$6:$A$305,$A20,InputPlayers!$B$6:$B$305,$B20,InputPlayers!$C$6:$C$305,$C20,InputPlayers!$D$6:$D$305,$D20,InputPlayers!$O$6:$O$305,"Да"))</x:f>
      </x:c>
      <x:c r="G20" s="44">
        <x:f>IF($A20="","",SUMIFS(InputPlayers!$N$6:$N$305,InputPlayers!$A$6:$A$305,$A20,InputPlayers!$B$6:$B$305,$B20,InputPlayers!$C$6:$C$305,$C20,InputPlayers!$D$6:$D$305,$D20,InputPlayers!$O$6:$O$305,"Да"))</x:f>
      </x:c>
      <x:c r="H20" s="44">
        <x:f>IF(InputPlayers!A21="","",TEXT(InputPlayers!A21,"dd.mm.yyyy")&amp;"|"&amp;InputPlayers!B21&amp;"|"&amp;InputPlayers!C21&amp;"|"&amp;InputPlayers!D21)</x:f>
      </x:c>
    </x:row>
    <x:row r="21">
      <x:c r="A21" s="42">
        <x:f>IF(H21="","",IF(COUNTIF($H$5:H21,H21)&gt;1,"",InputPlayers!A22))</x:f>
      </x:c>
      <x:c r="B21" s="43">
        <x:f>IF($A21="","",InputPlayers!B22)</x:f>
      </x:c>
      <x:c r="C21" s="43">
        <x:f>IF($A21="","",InputPlayers!C22)</x:f>
      </x:c>
      <x:c r="D21" s="44">
        <x:f>IF($A21="","",InputPlayers!D22)</x:f>
      </x:c>
      <x:c r="E21" s="44">
        <x:f>IF($A21="","",InputPlayers!E22)</x:f>
      </x:c>
      <x:c r="F21" s="44">
        <x:f>IF($A21="","",COUNTIFS(InputPlayers!$A$6:$A$305,$A21,InputPlayers!$B$6:$B$305,$B21,InputPlayers!$C$6:$C$305,$C21,InputPlayers!$D$6:$D$305,$D21,InputPlayers!$O$6:$O$305,"Да"))</x:f>
      </x:c>
      <x:c r="G21" s="44">
        <x:f>IF($A21="","",SUMIFS(InputPlayers!$N$6:$N$305,InputPlayers!$A$6:$A$305,$A21,InputPlayers!$B$6:$B$305,$B21,InputPlayers!$C$6:$C$305,$C21,InputPlayers!$D$6:$D$305,$D21,InputPlayers!$O$6:$O$305,"Да"))</x:f>
      </x:c>
      <x:c r="H21" s="44">
        <x:f>IF(InputPlayers!A22="","",TEXT(InputPlayers!A22,"dd.mm.yyyy")&amp;"|"&amp;InputPlayers!B22&amp;"|"&amp;InputPlayers!C22&amp;"|"&amp;InputPlayers!D22)</x:f>
      </x:c>
    </x:row>
    <x:row r="22">
      <x:c r="A22" s="42">
        <x:f>IF(H22="","",IF(COUNTIF($H$5:H22,H22)&gt;1,"",InputPlayers!A23))</x:f>
      </x:c>
      <x:c r="B22" s="43">
        <x:f>IF($A22="","",InputPlayers!B23)</x:f>
      </x:c>
      <x:c r="C22" s="43">
        <x:f>IF($A22="","",InputPlayers!C23)</x:f>
      </x:c>
      <x:c r="D22" s="44">
        <x:f>IF($A22="","",InputPlayers!D23)</x:f>
      </x:c>
      <x:c r="E22" s="44">
        <x:f>IF($A22="","",InputPlayers!E23)</x:f>
      </x:c>
      <x:c r="F22" s="44">
        <x:f>IF($A22="","",COUNTIFS(InputPlayers!$A$6:$A$305,$A22,InputPlayers!$B$6:$B$305,$B22,InputPlayers!$C$6:$C$305,$C22,InputPlayers!$D$6:$D$305,$D22,InputPlayers!$O$6:$O$305,"Да"))</x:f>
      </x:c>
      <x:c r="G22" s="44">
        <x:f>IF($A22="","",SUMIFS(InputPlayers!$N$6:$N$305,InputPlayers!$A$6:$A$305,$A22,InputPlayers!$B$6:$B$305,$B22,InputPlayers!$C$6:$C$305,$C22,InputPlayers!$D$6:$D$305,$D22,InputPlayers!$O$6:$O$305,"Да"))</x:f>
      </x:c>
      <x:c r="H22" s="44">
        <x:f>IF(InputPlayers!A23="","",TEXT(InputPlayers!A23,"dd.mm.yyyy")&amp;"|"&amp;InputPlayers!B23&amp;"|"&amp;InputPlayers!C23&amp;"|"&amp;InputPlayers!D23)</x:f>
      </x:c>
    </x:row>
    <x:row r="23">
      <x:c r="A23" s="42">
        <x:f>IF(H23="","",IF(COUNTIF($H$5:H23,H23)&gt;1,"",InputPlayers!A24))</x:f>
      </x:c>
      <x:c r="B23" s="43">
        <x:f>IF($A23="","",InputPlayers!B24)</x:f>
      </x:c>
      <x:c r="C23" s="43">
        <x:f>IF($A23="","",InputPlayers!C24)</x:f>
      </x:c>
      <x:c r="D23" s="44">
        <x:f>IF($A23="","",InputPlayers!D24)</x:f>
      </x:c>
      <x:c r="E23" s="44">
        <x:f>IF($A23="","",InputPlayers!E24)</x:f>
      </x:c>
      <x:c r="F23" s="44">
        <x:f>IF($A23="","",COUNTIFS(InputPlayers!$A$6:$A$305,$A23,InputPlayers!$B$6:$B$305,$B23,InputPlayers!$C$6:$C$305,$C23,InputPlayers!$D$6:$D$305,$D23,InputPlayers!$O$6:$O$305,"Да"))</x:f>
      </x:c>
      <x:c r="G23" s="44">
        <x:f>IF($A23="","",SUMIFS(InputPlayers!$N$6:$N$305,InputPlayers!$A$6:$A$305,$A23,InputPlayers!$B$6:$B$305,$B23,InputPlayers!$C$6:$C$305,$C23,InputPlayers!$D$6:$D$305,$D23,InputPlayers!$O$6:$O$305,"Да"))</x:f>
      </x:c>
      <x:c r="H23" s="44">
        <x:f>IF(InputPlayers!A24="","",TEXT(InputPlayers!A24,"dd.mm.yyyy")&amp;"|"&amp;InputPlayers!B24&amp;"|"&amp;InputPlayers!C24&amp;"|"&amp;InputPlayers!D24)</x:f>
      </x:c>
    </x:row>
    <x:row r="24">
      <x:c r="A24" s="42">
        <x:f>IF(H24="","",IF(COUNTIF($H$5:H24,H24)&gt;1,"",InputPlayers!A25))</x:f>
      </x:c>
      <x:c r="B24" s="43">
        <x:f>IF($A24="","",InputPlayers!B25)</x:f>
      </x:c>
      <x:c r="C24" s="43">
        <x:f>IF($A24="","",InputPlayers!C25)</x:f>
      </x:c>
      <x:c r="D24" s="44">
        <x:f>IF($A24="","",InputPlayers!D25)</x:f>
      </x:c>
      <x:c r="E24" s="44">
        <x:f>IF($A24="","",InputPlayers!E25)</x:f>
      </x:c>
      <x:c r="F24" s="44">
        <x:f>IF($A24="","",COUNTIFS(InputPlayers!$A$6:$A$305,$A24,InputPlayers!$B$6:$B$305,$B24,InputPlayers!$C$6:$C$305,$C24,InputPlayers!$D$6:$D$305,$D24,InputPlayers!$O$6:$O$305,"Да"))</x:f>
      </x:c>
      <x:c r="G24" s="44">
        <x:f>IF($A24="","",SUMIFS(InputPlayers!$N$6:$N$305,InputPlayers!$A$6:$A$305,$A24,InputPlayers!$B$6:$B$305,$B24,InputPlayers!$C$6:$C$305,$C24,InputPlayers!$D$6:$D$305,$D24,InputPlayers!$O$6:$O$305,"Да"))</x:f>
      </x:c>
      <x:c r="H24" s="44">
        <x:f>IF(InputPlayers!A25="","",TEXT(InputPlayers!A25,"dd.mm.yyyy")&amp;"|"&amp;InputPlayers!B25&amp;"|"&amp;InputPlayers!C25&amp;"|"&amp;InputPlayers!D25)</x:f>
      </x:c>
    </x:row>
    <x:row r="25">
      <x:c r="A25" s="42">
        <x:f>IF(H25="","",IF(COUNTIF($H$5:H25,H25)&gt;1,"",InputPlayers!A26))</x:f>
      </x:c>
      <x:c r="B25" s="43">
        <x:f>IF($A25="","",InputPlayers!B26)</x:f>
      </x:c>
      <x:c r="C25" s="43">
        <x:f>IF($A25="","",InputPlayers!C26)</x:f>
      </x:c>
      <x:c r="D25" s="44">
        <x:f>IF($A25="","",InputPlayers!D26)</x:f>
      </x:c>
      <x:c r="E25" s="44">
        <x:f>IF($A25="","",InputPlayers!E26)</x:f>
      </x:c>
      <x:c r="F25" s="44">
        <x:f>IF($A25="","",COUNTIFS(InputPlayers!$A$6:$A$305,$A25,InputPlayers!$B$6:$B$305,$B25,InputPlayers!$C$6:$C$305,$C25,InputPlayers!$D$6:$D$305,$D25,InputPlayers!$O$6:$O$305,"Да"))</x:f>
      </x:c>
      <x:c r="G25" s="44">
        <x:f>IF($A25="","",SUMIFS(InputPlayers!$N$6:$N$305,InputPlayers!$A$6:$A$305,$A25,InputPlayers!$B$6:$B$305,$B25,InputPlayers!$C$6:$C$305,$C25,InputPlayers!$D$6:$D$305,$D25,InputPlayers!$O$6:$O$305,"Да"))</x:f>
      </x:c>
      <x:c r="H25" s="44">
        <x:f>IF(InputPlayers!A26="","",TEXT(InputPlayers!A26,"dd.mm.yyyy")&amp;"|"&amp;InputPlayers!B26&amp;"|"&amp;InputPlayers!C26&amp;"|"&amp;InputPlayers!D26)</x:f>
      </x:c>
    </x:row>
    <x:row r="26">
      <x:c r="A26" s="42">
        <x:f>IF(H26="","",IF(COUNTIF($H$5:H26,H26)&gt;1,"",InputPlayers!A27))</x:f>
      </x:c>
      <x:c r="B26" s="43">
        <x:f>IF($A26="","",InputPlayers!B27)</x:f>
      </x:c>
      <x:c r="C26" s="43">
        <x:f>IF($A26="","",InputPlayers!C27)</x:f>
      </x:c>
      <x:c r="D26" s="44">
        <x:f>IF($A26="","",InputPlayers!D27)</x:f>
      </x:c>
      <x:c r="E26" s="44">
        <x:f>IF($A26="","",InputPlayers!E27)</x:f>
      </x:c>
      <x:c r="F26" s="44">
        <x:f>IF($A26="","",COUNTIFS(InputPlayers!$A$6:$A$305,$A26,InputPlayers!$B$6:$B$305,$B26,InputPlayers!$C$6:$C$305,$C26,InputPlayers!$D$6:$D$305,$D26,InputPlayers!$O$6:$O$305,"Да"))</x:f>
      </x:c>
      <x:c r="G26" s="44">
        <x:f>IF($A26="","",SUMIFS(InputPlayers!$N$6:$N$305,InputPlayers!$A$6:$A$305,$A26,InputPlayers!$B$6:$B$305,$B26,InputPlayers!$C$6:$C$305,$C26,InputPlayers!$D$6:$D$305,$D26,InputPlayers!$O$6:$O$305,"Да"))</x:f>
      </x:c>
      <x:c r="H26" s="44">
        <x:f>IF(InputPlayers!A27="","",TEXT(InputPlayers!A27,"dd.mm.yyyy")&amp;"|"&amp;InputPlayers!B27&amp;"|"&amp;InputPlayers!C27&amp;"|"&amp;InputPlayers!D27)</x:f>
      </x:c>
    </x:row>
    <x:row r="27">
      <x:c r="A27" s="42">
        <x:f>IF(H27="","",IF(COUNTIF($H$5:H27,H27)&gt;1,"",InputPlayers!A28))</x:f>
      </x:c>
      <x:c r="B27" s="43">
        <x:f>IF($A27="","",InputPlayers!B28)</x:f>
      </x:c>
      <x:c r="C27" s="43">
        <x:f>IF($A27="","",InputPlayers!C28)</x:f>
      </x:c>
      <x:c r="D27" s="44">
        <x:f>IF($A27="","",InputPlayers!D28)</x:f>
      </x:c>
      <x:c r="E27" s="44">
        <x:f>IF($A27="","",InputPlayers!E28)</x:f>
      </x:c>
      <x:c r="F27" s="44">
        <x:f>IF($A27="","",COUNTIFS(InputPlayers!$A$6:$A$305,$A27,InputPlayers!$B$6:$B$305,$B27,InputPlayers!$C$6:$C$305,$C27,InputPlayers!$D$6:$D$305,$D27,InputPlayers!$O$6:$O$305,"Да"))</x:f>
      </x:c>
      <x:c r="G27" s="44">
        <x:f>IF($A27="","",SUMIFS(InputPlayers!$N$6:$N$305,InputPlayers!$A$6:$A$305,$A27,InputPlayers!$B$6:$B$305,$B27,InputPlayers!$C$6:$C$305,$C27,InputPlayers!$D$6:$D$305,$D27,InputPlayers!$O$6:$O$305,"Да"))</x:f>
      </x:c>
      <x:c r="H27" s="44">
        <x:f>IF(InputPlayers!A28="","",TEXT(InputPlayers!A28,"dd.mm.yyyy")&amp;"|"&amp;InputPlayers!B28&amp;"|"&amp;InputPlayers!C28&amp;"|"&amp;InputPlayers!D28)</x:f>
      </x:c>
    </x:row>
    <x:row r="28">
      <x:c r="A28" s="42">
        <x:f>IF(H28="","",IF(COUNTIF($H$5:H28,H28)&gt;1,"",InputPlayers!A29))</x:f>
      </x:c>
      <x:c r="B28" s="43">
        <x:f>IF($A28="","",InputPlayers!B29)</x:f>
      </x:c>
      <x:c r="C28" s="43">
        <x:f>IF($A28="","",InputPlayers!C29)</x:f>
      </x:c>
      <x:c r="D28" s="44">
        <x:f>IF($A28="","",InputPlayers!D29)</x:f>
      </x:c>
      <x:c r="E28" s="44">
        <x:f>IF($A28="","",InputPlayers!E29)</x:f>
      </x:c>
      <x:c r="F28" s="44">
        <x:f>IF($A28="","",COUNTIFS(InputPlayers!$A$6:$A$305,$A28,InputPlayers!$B$6:$B$305,$B28,InputPlayers!$C$6:$C$305,$C28,InputPlayers!$D$6:$D$305,$D28,InputPlayers!$O$6:$O$305,"Да"))</x:f>
      </x:c>
      <x:c r="G28" s="44">
        <x:f>IF($A28="","",SUMIFS(InputPlayers!$N$6:$N$305,InputPlayers!$A$6:$A$305,$A28,InputPlayers!$B$6:$B$305,$B28,InputPlayers!$C$6:$C$305,$C28,InputPlayers!$D$6:$D$305,$D28,InputPlayers!$O$6:$O$305,"Да"))</x:f>
      </x:c>
      <x:c r="H28" s="44">
        <x:f>IF(InputPlayers!A29="","",TEXT(InputPlayers!A29,"dd.mm.yyyy")&amp;"|"&amp;InputPlayers!B29&amp;"|"&amp;InputPlayers!C29&amp;"|"&amp;InputPlayers!D29)</x:f>
      </x:c>
    </x:row>
    <x:row r="29">
      <x:c r="A29" s="42">
        <x:f>IF(H29="","",IF(COUNTIF($H$5:H29,H29)&gt;1,"",InputPlayers!A30))</x:f>
      </x:c>
      <x:c r="B29" s="43">
        <x:f>IF($A29="","",InputPlayers!B30)</x:f>
      </x:c>
      <x:c r="C29" s="43">
        <x:f>IF($A29="","",InputPlayers!C30)</x:f>
      </x:c>
      <x:c r="D29" s="44">
        <x:f>IF($A29="","",InputPlayers!D30)</x:f>
      </x:c>
      <x:c r="E29" s="44">
        <x:f>IF($A29="","",InputPlayers!E30)</x:f>
      </x:c>
      <x:c r="F29" s="44">
        <x:f>IF($A29="","",COUNTIFS(InputPlayers!$A$6:$A$305,$A29,InputPlayers!$B$6:$B$305,$B29,InputPlayers!$C$6:$C$305,$C29,InputPlayers!$D$6:$D$305,$D29,InputPlayers!$O$6:$O$305,"Да"))</x:f>
      </x:c>
      <x:c r="G29" s="44">
        <x:f>IF($A29="","",SUMIFS(InputPlayers!$N$6:$N$305,InputPlayers!$A$6:$A$305,$A29,InputPlayers!$B$6:$B$305,$B29,InputPlayers!$C$6:$C$305,$C29,InputPlayers!$D$6:$D$305,$D29,InputPlayers!$O$6:$O$305,"Да"))</x:f>
      </x:c>
      <x:c r="H29" s="44">
        <x:f>IF(InputPlayers!A30="","",TEXT(InputPlayers!A30,"dd.mm.yyyy")&amp;"|"&amp;InputPlayers!B30&amp;"|"&amp;InputPlayers!C30&amp;"|"&amp;InputPlayers!D30)</x:f>
      </x:c>
    </x:row>
    <x:row r="30">
      <x:c r="A30" s="42">
        <x:f>IF(H30="","",IF(COUNTIF($H$5:H30,H30)&gt;1,"",InputPlayers!A31))</x:f>
      </x:c>
      <x:c r="B30" s="43">
        <x:f>IF($A30="","",InputPlayers!B31)</x:f>
      </x:c>
      <x:c r="C30" s="43">
        <x:f>IF($A30="","",InputPlayers!C31)</x:f>
      </x:c>
      <x:c r="D30" s="44">
        <x:f>IF($A30="","",InputPlayers!D31)</x:f>
      </x:c>
      <x:c r="E30" s="44">
        <x:f>IF($A30="","",InputPlayers!E31)</x:f>
      </x:c>
      <x:c r="F30" s="44">
        <x:f>IF($A30="","",COUNTIFS(InputPlayers!$A$6:$A$305,$A30,InputPlayers!$B$6:$B$305,$B30,InputPlayers!$C$6:$C$305,$C30,InputPlayers!$D$6:$D$305,$D30,InputPlayers!$O$6:$O$305,"Да"))</x:f>
      </x:c>
      <x:c r="G30" s="44">
        <x:f>IF($A30="","",SUMIFS(InputPlayers!$N$6:$N$305,InputPlayers!$A$6:$A$305,$A30,InputPlayers!$B$6:$B$305,$B30,InputPlayers!$C$6:$C$305,$C30,InputPlayers!$D$6:$D$305,$D30,InputPlayers!$O$6:$O$305,"Да"))</x:f>
      </x:c>
      <x:c r="H30" s="44">
        <x:f>IF(InputPlayers!A31="","",TEXT(InputPlayers!A31,"dd.mm.yyyy")&amp;"|"&amp;InputPlayers!B31&amp;"|"&amp;InputPlayers!C31&amp;"|"&amp;InputPlayers!D31)</x:f>
      </x:c>
    </x:row>
    <x:row r="31">
      <x:c r="A31" s="42">
        <x:f>IF(H31="","",IF(COUNTIF($H$5:H31,H31)&gt;1,"",InputPlayers!A32))</x:f>
      </x:c>
      <x:c r="B31" s="43">
        <x:f>IF($A31="","",InputPlayers!B32)</x:f>
      </x:c>
      <x:c r="C31" s="43">
        <x:f>IF($A31="","",InputPlayers!C32)</x:f>
      </x:c>
      <x:c r="D31" s="44">
        <x:f>IF($A31="","",InputPlayers!D32)</x:f>
      </x:c>
      <x:c r="E31" s="44">
        <x:f>IF($A31="","",InputPlayers!E32)</x:f>
      </x:c>
      <x:c r="F31" s="44">
        <x:f>IF($A31="","",COUNTIFS(InputPlayers!$A$6:$A$305,$A31,InputPlayers!$B$6:$B$305,$B31,InputPlayers!$C$6:$C$305,$C31,InputPlayers!$D$6:$D$305,$D31,InputPlayers!$O$6:$O$305,"Да"))</x:f>
      </x:c>
      <x:c r="G31" s="44">
        <x:f>IF($A31="","",SUMIFS(InputPlayers!$N$6:$N$305,InputPlayers!$A$6:$A$305,$A31,InputPlayers!$B$6:$B$305,$B31,InputPlayers!$C$6:$C$305,$C31,InputPlayers!$D$6:$D$305,$D31,InputPlayers!$O$6:$O$305,"Да"))</x:f>
      </x:c>
      <x:c r="H31" s="44">
        <x:f>IF(InputPlayers!A32="","",TEXT(InputPlayers!A32,"dd.mm.yyyy")&amp;"|"&amp;InputPlayers!B32&amp;"|"&amp;InputPlayers!C32&amp;"|"&amp;InputPlayers!D32)</x:f>
      </x:c>
    </x:row>
    <x:row r="32">
      <x:c r="A32" s="42">
        <x:f>IF(H32="","",IF(COUNTIF($H$5:H32,H32)&gt;1,"",InputPlayers!A33))</x:f>
      </x:c>
      <x:c r="B32" s="43">
        <x:f>IF($A32="","",InputPlayers!B33)</x:f>
      </x:c>
      <x:c r="C32" s="43">
        <x:f>IF($A32="","",InputPlayers!C33)</x:f>
      </x:c>
      <x:c r="D32" s="44">
        <x:f>IF($A32="","",InputPlayers!D33)</x:f>
      </x:c>
      <x:c r="E32" s="44">
        <x:f>IF($A32="","",InputPlayers!E33)</x:f>
      </x:c>
      <x:c r="F32" s="44">
        <x:f>IF($A32="","",COUNTIFS(InputPlayers!$A$6:$A$305,$A32,InputPlayers!$B$6:$B$305,$B32,InputPlayers!$C$6:$C$305,$C32,InputPlayers!$D$6:$D$305,$D32,InputPlayers!$O$6:$O$305,"Да"))</x:f>
      </x:c>
      <x:c r="G32" s="44">
        <x:f>IF($A32="","",SUMIFS(InputPlayers!$N$6:$N$305,InputPlayers!$A$6:$A$305,$A32,InputPlayers!$B$6:$B$305,$B32,InputPlayers!$C$6:$C$305,$C32,InputPlayers!$D$6:$D$305,$D32,InputPlayers!$O$6:$O$305,"Да"))</x:f>
      </x:c>
      <x:c r="H32" s="44">
        <x:f>IF(InputPlayers!A33="","",TEXT(InputPlayers!A33,"dd.mm.yyyy")&amp;"|"&amp;InputPlayers!B33&amp;"|"&amp;InputPlayers!C33&amp;"|"&amp;InputPlayers!D33)</x:f>
      </x:c>
    </x:row>
    <x:row r="33">
      <x:c r="A33" s="42">
        <x:f>IF(H33="","",IF(COUNTIF($H$5:H33,H33)&gt;1,"",InputPlayers!A34))</x:f>
      </x:c>
      <x:c r="B33" s="43">
        <x:f>IF($A33="","",InputPlayers!B34)</x:f>
      </x:c>
      <x:c r="C33" s="43">
        <x:f>IF($A33="","",InputPlayers!C34)</x:f>
      </x:c>
      <x:c r="D33" s="44">
        <x:f>IF($A33="","",InputPlayers!D34)</x:f>
      </x:c>
      <x:c r="E33" s="44">
        <x:f>IF($A33="","",InputPlayers!E34)</x:f>
      </x:c>
      <x:c r="F33" s="44">
        <x:f>IF($A33="","",COUNTIFS(InputPlayers!$A$6:$A$305,$A33,InputPlayers!$B$6:$B$305,$B33,InputPlayers!$C$6:$C$305,$C33,InputPlayers!$D$6:$D$305,$D33,InputPlayers!$O$6:$O$305,"Да"))</x:f>
      </x:c>
      <x:c r="G33" s="44">
        <x:f>IF($A33="","",SUMIFS(InputPlayers!$N$6:$N$305,InputPlayers!$A$6:$A$305,$A33,InputPlayers!$B$6:$B$305,$B33,InputPlayers!$C$6:$C$305,$C33,InputPlayers!$D$6:$D$305,$D33,InputPlayers!$O$6:$O$305,"Да"))</x:f>
      </x:c>
      <x:c r="H33" s="44">
        <x:f>IF(InputPlayers!A34="","",TEXT(InputPlayers!A34,"dd.mm.yyyy")&amp;"|"&amp;InputPlayers!B34&amp;"|"&amp;InputPlayers!C34&amp;"|"&amp;InputPlayers!D34)</x:f>
      </x:c>
    </x:row>
    <x:row r="34">
      <x:c r="A34" s="42">
        <x:f>IF(H34="","",IF(COUNTIF($H$5:H34,H34)&gt;1,"",InputPlayers!A35))</x:f>
      </x:c>
      <x:c r="B34" s="43">
        <x:f>IF($A34="","",InputPlayers!B35)</x:f>
      </x:c>
      <x:c r="C34" s="43">
        <x:f>IF($A34="","",InputPlayers!C35)</x:f>
      </x:c>
      <x:c r="D34" s="44">
        <x:f>IF($A34="","",InputPlayers!D35)</x:f>
      </x:c>
      <x:c r="E34" s="44">
        <x:f>IF($A34="","",InputPlayers!E35)</x:f>
      </x:c>
      <x:c r="F34" s="44">
        <x:f>IF($A34="","",COUNTIFS(InputPlayers!$A$6:$A$305,$A34,InputPlayers!$B$6:$B$305,$B34,InputPlayers!$C$6:$C$305,$C34,InputPlayers!$D$6:$D$305,$D34,InputPlayers!$O$6:$O$305,"Да"))</x:f>
      </x:c>
      <x:c r="G34" s="44">
        <x:f>IF($A34="","",SUMIFS(InputPlayers!$N$6:$N$305,InputPlayers!$A$6:$A$305,$A34,InputPlayers!$B$6:$B$305,$B34,InputPlayers!$C$6:$C$305,$C34,InputPlayers!$D$6:$D$305,$D34,InputPlayers!$O$6:$O$305,"Да"))</x:f>
      </x:c>
      <x:c r="H34" s="44">
        <x:f>IF(InputPlayers!A35="","",TEXT(InputPlayers!A35,"dd.mm.yyyy")&amp;"|"&amp;InputPlayers!B35&amp;"|"&amp;InputPlayers!C35&amp;"|"&amp;InputPlayers!D35)</x:f>
      </x:c>
    </x:row>
    <x:row r="35">
      <x:c r="A35" s="42">
        <x:f>IF(H35="","",IF(COUNTIF($H$5:H35,H35)&gt;1,"",InputPlayers!A36))</x:f>
      </x:c>
      <x:c r="B35" s="43">
        <x:f>IF($A35="","",InputPlayers!B36)</x:f>
      </x:c>
      <x:c r="C35" s="43">
        <x:f>IF($A35="","",InputPlayers!C36)</x:f>
      </x:c>
      <x:c r="D35" s="44">
        <x:f>IF($A35="","",InputPlayers!D36)</x:f>
      </x:c>
      <x:c r="E35" s="44">
        <x:f>IF($A35="","",InputPlayers!E36)</x:f>
      </x:c>
      <x:c r="F35" s="44">
        <x:f>IF($A35="","",COUNTIFS(InputPlayers!$A$6:$A$305,$A35,InputPlayers!$B$6:$B$305,$B35,InputPlayers!$C$6:$C$305,$C35,InputPlayers!$D$6:$D$305,$D35,InputPlayers!$O$6:$O$305,"Да"))</x:f>
      </x:c>
      <x:c r="G35" s="44">
        <x:f>IF($A35="","",SUMIFS(InputPlayers!$N$6:$N$305,InputPlayers!$A$6:$A$305,$A35,InputPlayers!$B$6:$B$305,$B35,InputPlayers!$C$6:$C$305,$C35,InputPlayers!$D$6:$D$305,$D35,InputPlayers!$O$6:$O$305,"Да"))</x:f>
      </x:c>
      <x:c r="H35" s="44">
        <x:f>IF(InputPlayers!A36="","",TEXT(InputPlayers!A36,"dd.mm.yyyy")&amp;"|"&amp;InputPlayers!B36&amp;"|"&amp;InputPlayers!C36&amp;"|"&amp;InputPlayers!D36)</x:f>
      </x:c>
    </x:row>
    <x:row r="36">
      <x:c r="A36" s="42">
        <x:f>IF(H36="","",IF(COUNTIF($H$5:H36,H36)&gt;1,"",InputPlayers!A37))</x:f>
      </x:c>
      <x:c r="B36" s="43">
        <x:f>IF($A36="","",InputPlayers!B37)</x:f>
      </x:c>
      <x:c r="C36" s="43">
        <x:f>IF($A36="","",InputPlayers!C37)</x:f>
      </x:c>
      <x:c r="D36" s="44">
        <x:f>IF($A36="","",InputPlayers!D37)</x:f>
      </x:c>
      <x:c r="E36" s="44">
        <x:f>IF($A36="","",InputPlayers!E37)</x:f>
      </x:c>
      <x:c r="F36" s="44">
        <x:f>IF($A36="","",COUNTIFS(InputPlayers!$A$6:$A$305,$A36,InputPlayers!$B$6:$B$305,$B36,InputPlayers!$C$6:$C$305,$C36,InputPlayers!$D$6:$D$305,$D36,InputPlayers!$O$6:$O$305,"Да"))</x:f>
      </x:c>
      <x:c r="G36" s="44">
        <x:f>IF($A36="","",SUMIFS(InputPlayers!$N$6:$N$305,InputPlayers!$A$6:$A$305,$A36,InputPlayers!$B$6:$B$305,$B36,InputPlayers!$C$6:$C$305,$C36,InputPlayers!$D$6:$D$305,$D36,InputPlayers!$O$6:$O$305,"Да"))</x:f>
      </x:c>
      <x:c r="H36" s="44">
        <x:f>IF(InputPlayers!A37="","",TEXT(InputPlayers!A37,"dd.mm.yyyy")&amp;"|"&amp;InputPlayers!B37&amp;"|"&amp;InputPlayers!C37&amp;"|"&amp;InputPlayers!D37)</x:f>
      </x:c>
    </x:row>
    <x:row r="37">
      <x:c r="A37" s="42">
        <x:f>IF(H37="","",IF(COUNTIF($H$5:H37,H37)&gt;1,"",InputPlayers!A38))</x:f>
      </x:c>
      <x:c r="B37" s="43">
        <x:f>IF($A37="","",InputPlayers!B38)</x:f>
      </x:c>
      <x:c r="C37" s="43">
        <x:f>IF($A37="","",InputPlayers!C38)</x:f>
      </x:c>
      <x:c r="D37" s="44">
        <x:f>IF($A37="","",InputPlayers!D38)</x:f>
      </x:c>
      <x:c r="E37" s="44">
        <x:f>IF($A37="","",InputPlayers!E38)</x:f>
      </x:c>
      <x:c r="F37" s="44">
        <x:f>IF($A37="","",COUNTIFS(InputPlayers!$A$6:$A$305,$A37,InputPlayers!$B$6:$B$305,$B37,InputPlayers!$C$6:$C$305,$C37,InputPlayers!$D$6:$D$305,$D37,InputPlayers!$O$6:$O$305,"Да"))</x:f>
      </x:c>
      <x:c r="G37" s="44">
        <x:f>IF($A37="","",SUMIFS(InputPlayers!$N$6:$N$305,InputPlayers!$A$6:$A$305,$A37,InputPlayers!$B$6:$B$305,$B37,InputPlayers!$C$6:$C$305,$C37,InputPlayers!$D$6:$D$305,$D37,InputPlayers!$O$6:$O$305,"Да"))</x:f>
      </x:c>
      <x:c r="H37" s="44">
        <x:f>IF(InputPlayers!A38="","",TEXT(InputPlayers!A38,"dd.mm.yyyy")&amp;"|"&amp;InputPlayers!B38&amp;"|"&amp;InputPlayers!C38&amp;"|"&amp;InputPlayers!D38)</x:f>
      </x:c>
    </x:row>
    <x:row r="38">
      <x:c r="A38" s="42">
        <x:f>IF(H38="","",IF(COUNTIF($H$5:H38,H38)&gt;1,"",InputPlayers!A39))</x:f>
      </x:c>
      <x:c r="B38" s="43">
        <x:f>IF($A38="","",InputPlayers!B39)</x:f>
      </x:c>
      <x:c r="C38" s="43">
        <x:f>IF($A38="","",InputPlayers!C39)</x:f>
      </x:c>
      <x:c r="D38" s="44">
        <x:f>IF($A38="","",InputPlayers!D39)</x:f>
      </x:c>
      <x:c r="E38" s="44">
        <x:f>IF($A38="","",InputPlayers!E39)</x:f>
      </x:c>
      <x:c r="F38" s="44">
        <x:f>IF($A38="","",COUNTIFS(InputPlayers!$A$6:$A$305,$A38,InputPlayers!$B$6:$B$305,$B38,InputPlayers!$C$6:$C$305,$C38,InputPlayers!$D$6:$D$305,$D38,InputPlayers!$O$6:$O$305,"Да"))</x:f>
      </x:c>
      <x:c r="G38" s="44">
        <x:f>IF($A38="","",SUMIFS(InputPlayers!$N$6:$N$305,InputPlayers!$A$6:$A$305,$A38,InputPlayers!$B$6:$B$305,$B38,InputPlayers!$C$6:$C$305,$C38,InputPlayers!$D$6:$D$305,$D38,InputPlayers!$O$6:$O$305,"Да"))</x:f>
      </x:c>
      <x:c r="H38" s="44">
        <x:f>IF(InputPlayers!A39="","",TEXT(InputPlayers!A39,"dd.mm.yyyy")&amp;"|"&amp;InputPlayers!B39&amp;"|"&amp;InputPlayers!C39&amp;"|"&amp;InputPlayers!D39)</x:f>
      </x:c>
    </x:row>
    <x:row r="39">
      <x:c r="A39" s="42">
        <x:f>IF(H39="","",IF(COUNTIF($H$5:H39,H39)&gt;1,"",InputPlayers!A40))</x:f>
      </x:c>
      <x:c r="B39" s="43">
        <x:f>IF($A39="","",InputPlayers!B40)</x:f>
      </x:c>
      <x:c r="C39" s="43">
        <x:f>IF($A39="","",InputPlayers!C40)</x:f>
      </x:c>
      <x:c r="D39" s="44">
        <x:f>IF($A39="","",InputPlayers!D40)</x:f>
      </x:c>
      <x:c r="E39" s="44">
        <x:f>IF($A39="","",InputPlayers!E40)</x:f>
      </x:c>
      <x:c r="F39" s="44">
        <x:f>IF($A39="","",COUNTIFS(InputPlayers!$A$6:$A$305,$A39,InputPlayers!$B$6:$B$305,$B39,InputPlayers!$C$6:$C$305,$C39,InputPlayers!$D$6:$D$305,$D39,InputPlayers!$O$6:$O$305,"Да"))</x:f>
      </x:c>
      <x:c r="G39" s="44">
        <x:f>IF($A39="","",SUMIFS(InputPlayers!$N$6:$N$305,InputPlayers!$A$6:$A$305,$A39,InputPlayers!$B$6:$B$305,$B39,InputPlayers!$C$6:$C$305,$C39,InputPlayers!$D$6:$D$305,$D39,InputPlayers!$O$6:$O$305,"Да"))</x:f>
      </x:c>
      <x:c r="H39" s="44">
        <x:f>IF(InputPlayers!A40="","",TEXT(InputPlayers!A40,"dd.mm.yyyy")&amp;"|"&amp;InputPlayers!B40&amp;"|"&amp;InputPlayers!C40&amp;"|"&amp;InputPlayers!D40)</x:f>
      </x:c>
    </x:row>
    <x:row r="40">
      <x:c r="A40" s="42">
        <x:f>IF(H40="","",IF(COUNTIF($H$5:H40,H40)&gt;1,"",InputPlayers!A41))</x:f>
      </x:c>
      <x:c r="B40" s="43">
        <x:f>IF($A40="","",InputPlayers!B41)</x:f>
      </x:c>
      <x:c r="C40" s="43">
        <x:f>IF($A40="","",InputPlayers!C41)</x:f>
      </x:c>
      <x:c r="D40" s="44">
        <x:f>IF($A40="","",InputPlayers!D41)</x:f>
      </x:c>
      <x:c r="E40" s="44">
        <x:f>IF($A40="","",InputPlayers!E41)</x:f>
      </x:c>
      <x:c r="F40" s="44">
        <x:f>IF($A40="","",COUNTIFS(InputPlayers!$A$6:$A$305,$A40,InputPlayers!$B$6:$B$305,$B40,InputPlayers!$C$6:$C$305,$C40,InputPlayers!$D$6:$D$305,$D40,InputPlayers!$O$6:$O$305,"Да"))</x:f>
      </x:c>
      <x:c r="G40" s="44">
        <x:f>IF($A40="","",SUMIFS(InputPlayers!$N$6:$N$305,InputPlayers!$A$6:$A$305,$A40,InputPlayers!$B$6:$B$305,$B40,InputPlayers!$C$6:$C$305,$C40,InputPlayers!$D$6:$D$305,$D40,InputPlayers!$O$6:$O$305,"Да"))</x:f>
      </x:c>
      <x:c r="H40" s="44">
        <x:f>IF(InputPlayers!A41="","",TEXT(InputPlayers!A41,"dd.mm.yyyy")&amp;"|"&amp;InputPlayers!B41&amp;"|"&amp;InputPlayers!C41&amp;"|"&amp;InputPlayers!D41)</x:f>
      </x:c>
    </x:row>
    <x:row r="41">
      <x:c r="A41" s="42">
        <x:f>IF(H41="","",IF(COUNTIF($H$5:H41,H41)&gt;1,"",InputPlayers!A42))</x:f>
      </x:c>
      <x:c r="B41" s="43">
        <x:f>IF($A41="","",InputPlayers!B42)</x:f>
      </x:c>
      <x:c r="C41" s="43">
        <x:f>IF($A41="","",InputPlayers!C42)</x:f>
      </x:c>
      <x:c r="D41" s="44">
        <x:f>IF($A41="","",InputPlayers!D42)</x:f>
      </x:c>
      <x:c r="E41" s="44">
        <x:f>IF($A41="","",InputPlayers!E42)</x:f>
      </x:c>
      <x:c r="F41" s="44">
        <x:f>IF($A41="","",COUNTIFS(InputPlayers!$A$6:$A$305,$A41,InputPlayers!$B$6:$B$305,$B41,InputPlayers!$C$6:$C$305,$C41,InputPlayers!$D$6:$D$305,$D41,InputPlayers!$O$6:$O$305,"Да"))</x:f>
      </x:c>
      <x:c r="G41" s="44">
        <x:f>IF($A41="","",SUMIFS(InputPlayers!$N$6:$N$305,InputPlayers!$A$6:$A$305,$A41,InputPlayers!$B$6:$B$305,$B41,InputPlayers!$C$6:$C$305,$C41,InputPlayers!$D$6:$D$305,$D41,InputPlayers!$O$6:$O$305,"Да"))</x:f>
      </x:c>
      <x:c r="H41" s="44">
        <x:f>IF(InputPlayers!A42="","",TEXT(InputPlayers!A42,"dd.mm.yyyy")&amp;"|"&amp;InputPlayers!B42&amp;"|"&amp;InputPlayers!C42&amp;"|"&amp;InputPlayers!D42)</x:f>
      </x:c>
    </x:row>
    <x:row r="42">
      <x:c r="A42" s="42">
        <x:f>IF(H42="","",IF(COUNTIF($H$5:H42,H42)&gt;1,"",InputPlayers!A43))</x:f>
      </x:c>
      <x:c r="B42" s="43">
        <x:f>IF($A42="","",InputPlayers!B43)</x:f>
      </x:c>
      <x:c r="C42" s="43">
        <x:f>IF($A42="","",InputPlayers!C43)</x:f>
      </x:c>
      <x:c r="D42" s="44">
        <x:f>IF($A42="","",InputPlayers!D43)</x:f>
      </x:c>
      <x:c r="E42" s="44">
        <x:f>IF($A42="","",InputPlayers!E43)</x:f>
      </x:c>
      <x:c r="F42" s="44">
        <x:f>IF($A42="","",COUNTIFS(InputPlayers!$A$6:$A$305,$A42,InputPlayers!$B$6:$B$305,$B42,InputPlayers!$C$6:$C$305,$C42,InputPlayers!$D$6:$D$305,$D42,InputPlayers!$O$6:$O$305,"Да"))</x:f>
      </x:c>
      <x:c r="G42" s="44">
        <x:f>IF($A42="","",SUMIFS(InputPlayers!$N$6:$N$305,InputPlayers!$A$6:$A$305,$A42,InputPlayers!$B$6:$B$305,$B42,InputPlayers!$C$6:$C$305,$C42,InputPlayers!$D$6:$D$305,$D42,InputPlayers!$O$6:$O$305,"Да"))</x:f>
      </x:c>
      <x:c r="H42" s="44">
        <x:f>IF(InputPlayers!A43="","",TEXT(InputPlayers!A43,"dd.mm.yyyy")&amp;"|"&amp;InputPlayers!B43&amp;"|"&amp;InputPlayers!C43&amp;"|"&amp;InputPlayers!D43)</x:f>
      </x:c>
    </x:row>
    <x:row r="43">
      <x:c r="A43" s="42">
        <x:f>IF(H43="","",IF(COUNTIF($H$5:H43,H43)&gt;1,"",InputPlayers!A44))</x:f>
      </x:c>
      <x:c r="B43" s="43">
        <x:f>IF($A43="","",InputPlayers!B44)</x:f>
      </x:c>
      <x:c r="C43" s="43">
        <x:f>IF($A43="","",InputPlayers!C44)</x:f>
      </x:c>
      <x:c r="D43" s="44">
        <x:f>IF($A43="","",InputPlayers!D44)</x:f>
      </x:c>
      <x:c r="E43" s="44">
        <x:f>IF($A43="","",InputPlayers!E44)</x:f>
      </x:c>
      <x:c r="F43" s="44">
        <x:f>IF($A43="","",COUNTIFS(InputPlayers!$A$6:$A$305,$A43,InputPlayers!$B$6:$B$305,$B43,InputPlayers!$C$6:$C$305,$C43,InputPlayers!$D$6:$D$305,$D43,InputPlayers!$O$6:$O$305,"Да"))</x:f>
      </x:c>
      <x:c r="G43" s="44">
        <x:f>IF($A43="","",SUMIFS(InputPlayers!$N$6:$N$305,InputPlayers!$A$6:$A$305,$A43,InputPlayers!$B$6:$B$305,$B43,InputPlayers!$C$6:$C$305,$C43,InputPlayers!$D$6:$D$305,$D43,InputPlayers!$O$6:$O$305,"Да"))</x:f>
      </x:c>
      <x:c r="H43" s="44">
        <x:f>IF(InputPlayers!A44="","",TEXT(InputPlayers!A44,"dd.mm.yyyy")&amp;"|"&amp;InputPlayers!B44&amp;"|"&amp;InputPlayers!C44&amp;"|"&amp;InputPlayers!D44)</x:f>
      </x:c>
    </x:row>
    <x:row r="44">
      <x:c r="A44" s="42">
        <x:f>IF(H44="","",IF(COUNTIF($H$5:H44,H44)&gt;1,"",InputPlayers!A45))</x:f>
      </x:c>
      <x:c r="B44" s="43">
        <x:f>IF($A44="","",InputPlayers!B45)</x:f>
      </x:c>
      <x:c r="C44" s="43">
        <x:f>IF($A44="","",InputPlayers!C45)</x:f>
      </x:c>
      <x:c r="D44" s="44">
        <x:f>IF($A44="","",InputPlayers!D45)</x:f>
      </x:c>
      <x:c r="E44" s="44">
        <x:f>IF($A44="","",InputPlayers!E45)</x:f>
      </x:c>
      <x:c r="F44" s="44">
        <x:f>IF($A44="","",COUNTIFS(InputPlayers!$A$6:$A$305,$A44,InputPlayers!$B$6:$B$305,$B44,InputPlayers!$C$6:$C$305,$C44,InputPlayers!$D$6:$D$305,$D44,InputPlayers!$O$6:$O$305,"Да"))</x:f>
      </x:c>
      <x:c r="G44" s="44">
        <x:f>IF($A44="","",SUMIFS(InputPlayers!$N$6:$N$305,InputPlayers!$A$6:$A$305,$A44,InputPlayers!$B$6:$B$305,$B44,InputPlayers!$C$6:$C$305,$C44,InputPlayers!$D$6:$D$305,$D44,InputPlayers!$O$6:$O$305,"Да"))</x:f>
      </x:c>
      <x:c r="H44" s="44">
        <x:f>IF(InputPlayers!A45="","",TEXT(InputPlayers!A45,"dd.mm.yyyy")&amp;"|"&amp;InputPlayers!B45&amp;"|"&amp;InputPlayers!C45&amp;"|"&amp;InputPlayers!D45)</x:f>
      </x:c>
    </x:row>
    <x:row r="45">
      <x:c r="A45" s="42">
        <x:f>IF(H45="","",IF(COUNTIF($H$5:H45,H45)&gt;1,"",InputPlayers!A46))</x:f>
      </x:c>
      <x:c r="B45" s="43">
        <x:f>IF($A45="","",InputPlayers!B46)</x:f>
      </x:c>
      <x:c r="C45" s="43">
        <x:f>IF($A45="","",InputPlayers!C46)</x:f>
      </x:c>
      <x:c r="D45" s="44">
        <x:f>IF($A45="","",InputPlayers!D46)</x:f>
      </x:c>
      <x:c r="E45" s="44">
        <x:f>IF($A45="","",InputPlayers!E46)</x:f>
      </x:c>
      <x:c r="F45" s="44">
        <x:f>IF($A45="","",COUNTIFS(InputPlayers!$A$6:$A$305,$A45,InputPlayers!$B$6:$B$305,$B45,InputPlayers!$C$6:$C$305,$C45,InputPlayers!$D$6:$D$305,$D45,InputPlayers!$O$6:$O$305,"Да"))</x:f>
      </x:c>
      <x:c r="G45" s="44">
        <x:f>IF($A45="","",SUMIFS(InputPlayers!$N$6:$N$305,InputPlayers!$A$6:$A$305,$A45,InputPlayers!$B$6:$B$305,$B45,InputPlayers!$C$6:$C$305,$C45,InputPlayers!$D$6:$D$305,$D45,InputPlayers!$O$6:$O$305,"Да"))</x:f>
      </x:c>
      <x:c r="H45" s="44">
        <x:f>IF(InputPlayers!A46="","",TEXT(InputPlayers!A46,"dd.mm.yyyy")&amp;"|"&amp;InputPlayers!B46&amp;"|"&amp;InputPlayers!C46&amp;"|"&amp;InputPlayers!D46)</x:f>
      </x:c>
    </x:row>
    <x:row r="46">
      <x:c r="A46" s="42">
        <x:f>IF(H46="","",IF(COUNTIF($H$5:H46,H46)&gt;1,"",InputPlayers!A47))</x:f>
      </x:c>
      <x:c r="B46" s="43">
        <x:f>IF($A46="","",InputPlayers!B47)</x:f>
      </x:c>
      <x:c r="C46" s="43">
        <x:f>IF($A46="","",InputPlayers!C47)</x:f>
      </x:c>
      <x:c r="D46" s="44">
        <x:f>IF($A46="","",InputPlayers!D47)</x:f>
      </x:c>
      <x:c r="E46" s="44">
        <x:f>IF($A46="","",InputPlayers!E47)</x:f>
      </x:c>
      <x:c r="F46" s="44">
        <x:f>IF($A46="","",COUNTIFS(InputPlayers!$A$6:$A$305,$A46,InputPlayers!$B$6:$B$305,$B46,InputPlayers!$C$6:$C$305,$C46,InputPlayers!$D$6:$D$305,$D46,InputPlayers!$O$6:$O$305,"Да"))</x:f>
      </x:c>
      <x:c r="G46" s="44">
        <x:f>IF($A46="","",SUMIFS(InputPlayers!$N$6:$N$305,InputPlayers!$A$6:$A$305,$A46,InputPlayers!$B$6:$B$305,$B46,InputPlayers!$C$6:$C$305,$C46,InputPlayers!$D$6:$D$305,$D46,InputPlayers!$O$6:$O$305,"Да"))</x:f>
      </x:c>
      <x:c r="H46" s="44">
        <x:f>IF(InputPlayers!A47="","",TEXT(InputPlayers!A47,"dd.mm.yyyy")&amp;"|"&amp;InputPlayers!B47&amp;"|"&amp;InputPlayers!C47&amp;"|"&amp;InputPlayers!D47)</x:f>
      </x:c>
    </x:row>
    <x:row r="47">
      <x:c r="A47" s="42">
        <x:f>IF(H47="","",IF(COUNTIF($H$5:H47,H47)&gt;1,"",InputPlayers!A48))</x:f>
      </x:c>
      <x:c r="B47" s="43">
        <x:f>IF($A47="","",InputPlayers!B48)</x:f>
      </x:c>
      <x:c r="C47" s="43">
        <x:f>IF($A47="","",InputPlayers!C48)</x:f>
      </x:c>
      <x:c r="D47" s="44">
        <x:f>IF($A47="","",InputPlayers!D48)</x:f>
      </x:c>
      <x:c r="E47" s="44">
        <x:f>IF($A47="","",InputPlayers!E48)</x:f>
      </x:c>
      <x:c r="F47" s="44">
        <x:f>IF($A47="","",COUNTIFS(InputPlayers!$A$6:$A$305,$A47,InputPlayers!$B$6:$B$305,$B47,InputPlayers!$C$6:$C$305,$C47,InputPlayers!$D$6:$D$305,$D47,InputPlayers!$O$6:$O$305,"Да"))</x:f>
      </x:c>
      <x:c r="G47" s="44">
        <x:f>IF($A47="","",SUMIFS(InputPlayers!$N$6:$N$305,InputPlayers!$A$6:$A$305,$A47,InputPlayers!$B$6:$B$305,$B47,InputPlayers!$C$6:$C$305,$C47,InputPlayers!$D$6:$D$305,$D47,InputPlayers!$O$6:$O$305,"Да"))</x:f>
      </x:c>
      <x:c r="H47" s="44">
        <x:f>IF(InputPlayers!A48="","",TEXT(InputPlayers!A48,"dd.mm.yyyy")&amp;"|"&amp;InputPlayers!B48&amp;"|"&amp;InputPlayers!C48&amp;"|"&amp;InputPlayers!D48)</x:f>
      </x:c>
    </x:row>
    <x:row r="48">
      <x:c r="A48" s="42">
        <x:f>IF(H48="","",IF(COUNTIF($H$5:H48,H48)&gt;1,"",InputPlayers!A49))</x:f>
      </x:c>
      <x:c r="B48" s="43">
        <x:f>IF($A48="","",InputPlayers!B49)</x:f>
      </x:c>
      <x:c r="C48" s="43">
        <x:f>IF($A48="","",InputPlayers!C49)</x:f>
      </x:c>
      <x:c r="D48" s="44">
        <x:f>IF($A48="","",InputPlayers!D49)</x:f>
      </x:c>
      <x:c r="E48" s="44">
        <x:f>IF($A48="","",InputPlayers!E49)</x:f>
      </x:c>
      <x:c r="F48" s="44">
        <x:f>IF($A48="","",COUNTIFS(InputPlayers!$A$6:$A$305,$A48,InputPlayers!$B$6:$B$305,$B48,InputPlayers!$C$6:$C$305,$C48,InputPlayers!$D$6:$D$305,$D48,InputPlayers!$O$6:$O$305,"Да"))</x:f>
      </x:c>
      <x:c r="G48" s="44">
        <x:f>IF($A48="","",SUMIFS(InputPlayers!$N$6:$N$305,InputPlayers!$A$6:$A$305,$A48,InputPlayers!$B$6:$B$305,$B48,InputPlayers!$C$6:$C$305,$C48,InputPlayers!$D$6:$D$305,$D48,InputPlayers!$O$6:$O$305,"Да"))</x:f>
      </x:c>
      <x:c r="H48" s="44">
        <x:f>IF(InputPlayers!A49="","",TEXT(InputPlayers!A49,"dd.mm.yyyy")&amp;"|"&amp;InputPlayers!B49&amp;"|"&amp;InputPlayers!C49&amp;"|"&amp;InputPlayers!D49)</x:f>
      </x:c>
    </x:row>
    <x:row r="49">
      <x:c r="A49" s="42">
        <x:f>IF(H49="","",IF(COUNTIF($H$5:H49,H49)&gt;1,"",InputPlayers!A50))</x:f>
      </x:c>
      <x:c r="B49" s="43">
        <x:f>IF($A49="","",InputPlayers!B50)</x:f>
      </x:c>
      <x:c r="C49" s="43">
        <x:f>IF($A49="","",InputPlayers!C50)</x:f>
      </x:c>
      <x:c r="D49" s="44">
        <x:f>IF($A49="","",InputPlayers!D50)</x:f>
      </x:c>
      <x:c r="E49" s="44">
        <x:f>IF($A49="","",InputPlayers!E50)</x:f>
      </x:c>
      <x:c r="F49" s="44">
        <x:f>IF($A49="","",COUNTIFS(InputPlayers!$A$6:$A$305,$A49,InputPlayers!$B$6:$B$305,$B49,InputPlayers!$C$6:$C$305,$C49,InputPlayers!$D$6:$D$305,$D49,InputPlayers!$O$6:$O$305,"Да"))</x:f>
      </x:c>
      <x:c r="G49" s="44">
        <x:f>IF($A49="","",SUMIFS(InputPlayers!$N$6:$N$305,InputPlayers!$A$6:$A$305,$A49,InputPlayers!$B$6:$B$305,$B49,InputPlayers!$C$6:$C$305,$C49,InputPlayers!$D$6:$D$305,$D49,InputPlayers!$O$6:$O$305,"Да"))</x:f>
      </x:c>
      <x:c r="H49" s="44">
        <x:f>IF(InputPlayers!A50="","",TEXT(InputPlayers!A50,"dd.mm.yyyy")&amp;"|"&amp;InputPlayers!B50&amp;"|"&amp;InputPlayers!C50&amp;"|"&amp;InputPlayers!D50)</x:f>
      </x:c>
    </x:row>
    <x:row r="50">
      <x:c r="A50" s="42">
        <x:f>IF(H50="","",IF(COUNTIF($H$5:H50,H50)&gt;1,"",InputPlayers!A51))</x:f>
      </x:c>
      <x:c r="B50" s="43">
        <x:f>IF($A50="","",InputPlayers!B51)</x:f>
      </x:c>
      <x:c r="C50" s="43">
        <x:f>IF($A50="","",InputPlayers!C51)</x:f>
      </x:c>
      <x:c r="D50" s="44">
        <x:f>IF($A50="","",InputPlayers!D51)</x:f>
      </x:c>
      <x:c r="E50" s="44">
        <x:f>IF($A50="","",InputPlayers!E51)</x:f>
      </x:c>
      <x:c r="F50" s="44">
        <x:f>IF($A50="","",COUNTIFS(InputPlayers!$A$6:$A$305,$A50,InputPlayers!$B$6:$B$305,$B50,InputPlayers!$C$6:$C$305,$C50,InputPlayers!$D$6:$D$305,$D50,InputPlayers!$O$6:$O$305,"Да"))</x:f>
      </x:c>
      <x:c r="G50" s="44">
        <x:f>IF($A50="","",SUMIFS(InputPlayers!$N$6:$N$305,InputPlayers!$A$6:$A$305,$A50,InputPlayers!$B$6:$B$305,$B50,InputPlayers!$C$6:$C$305,$C50,InputPlayers!$D$6:$D$305,$D50,InputPlayers!$O$6:$O$305,"Да"))</x:f>
      </x:c>
      <x:c r="H50" s="44">
        <x:f>IF(InputPlayers!A51="","",TEXT(InputPlayers!A51,"dd.mm.yyyy")&amp;"|"&amp;InputPlayers!B51&amp;"|"&amp;InputPlayers!C51&amp;"|"&amp;InputPlayers!D51)</x:f>
      </x:c>
    </x:row>
    <x:row r="51">
      <x:c r="A51" s="42">
        <x:f>IF(H51="","",IF(COUNTIF($H$5:H51,H51)&gt;1,"",InputPlayers!A52))</x:f>
      </x:c>
      <x:c r="B51" s="43">
        <x:f>IF($A51="","",InputPlayers!B52)</x:f>
      </x:c>
      <x:c r="C51" s="43">
        <x:f>IF($A51="","",InputPlayers!C52)</x:f>
      </x:c>
      <x:c r="D51" s="44">
        <x:f>IF($A51="","",InputPlayers!D52)</x:f>
      </x:c>
      <x:c r="E51" s="44">
        <x:f>IF($A51="","",InputPlayers!E52)</x:f>
      </x:c>
      <x:c r="F51" s="44">
        <x:f>IF($A51="","",COUNTIFS(InputPlayers!$A$6:$A$305,$A51,InputPlayers!$B$6:$B$305,$B51,InputPlayers!$C$6:$C$305,$C51,InputPlayers!$D$6:$D$305,$D51,InputPlayers!$O$6:$O$305,"Да"))</x:f>
      </x:c>
      <x:c r="G51" s="44">
        <x:f>IF($A51="","",SUMIFS(InputPlayers!$N$6:$N$305,InputPlayers!$A$6:$A$305,$A51,InputPlayers!$B$6:$B$305,$B51,InputPlayers!$C$6:$C$305,$C51,InputPlayers!$D$6:$D$305,$D51,InputPlayers!$O$6:$O$305,"Да"))</x:f>
      </x:c>
      <x:c r="H51" s="44">
        <x:f>IF(InputPlayers!A52="","",TEXT(InputPlayers!A52,"dd.mm.yyyy")&amp;"|"&amp;InputPlayers!B52&amp;"|"&amp;InputPlayers!C52&amp;"|"&amp;InputPlayers!D52)</x:f>
      </x:c>
    </x:row>
    <x:row r="52">
      <x:c r="A52" s="42">
        <x:f>IF(H52="","",IF(COUNTIF($H$5:H52,H52)&gt;1,"",InputPlayers!A53))</x:f>
      </x:c>
      <x:c r="B52" s="43">
        <x:f>IF($A52="","",InputPlayers!B53)</x:f>
      </x:c>
      <x:c r="C52" s="43">
        <x:f>IF($A52="","",InputPlayers!C53)</x:f>
      </x:c>
      <x:c r="D52" s="44">
        <x:f>IF($A52="","",InputPlayers!D53)</x:f>
      </x:c>
      <x:c r="E52" s="44">
        <x:f>IF($A52="","",InputPlayers!E53)</x:f>
      </x:c>
      <x:c r="F52" s="44">
        <x:f>IF($A52="","",COUNTIFS(InputPlayers!$A$6:$A$305,$A52,InputPlayers!$B$6:$B$305,$B52,InputPlayers!$C$6:$C$305,$C52,InputPlayers!$D$6:$D$305,$D52,InputPlayers!$O$6:$O$305,"Да"))</x:f>
      </x:c>
      <x:c r="G52" s="44">
        <x:f>IF($A52="","",SUMIFS(InputPlayers!$N$6:$N$305,InputPlayers!$A$6:$A$305,$A52,InputPlayers!$B$6:$B$305,$B52,InputPlayers!$C$6:$C$305,$C52,InputPlayers!$D$6:$D$305,$D52,InputPlayers!$O$6:$O$305,"Да"))</x:f>
      </x:c>
      <x:c r="H52" s="44">
        <x:f>IF(InputPlayers!A53="","",TEXT(InputPlayers!A53,"dd.mm.yyyy")&amp;"|"&amp;InputPlayers!B53&amp;"|"&amp;InputPlayers!C53&amp;"|"&amp;InputPlayers!D53)</x:f>
      </x:c>
    </x:row>
    <x:row r="53">
      <x:c r="A53" s="42">
        <x:f>IF(H53="","",IF(COUNTIF($H$5:H53,H53)&gt;1,"",InputPlayers!A54))</x:f>
      </x:c>
      <x:c r="B53" s="43">
        <x:f>IF($A53="","",InputPlayers!B54)</x:f>
      </x:c>
      <x:c r="C53" s="43">
        <x:f>IF($A53="","",InputPlayers!C54)</x:f>
      </x:c>
      <x:c r="D53" s="44">
        <x:f>IF($A53="","",InputPlayers!D54)</x:f>
      </x:c>
      <x:c r="E53" s="44">
        <x:f>IF($A53="","",InputPlayers!E54)</x:f>
      </x:c>
      <x:c r="F53" s="44">
        <x:f>IF($A53="","",COUNTIFS(InputPlayers!$A$6:$A$305,$A53,InputPlayers!$B$6:$B$305,$B53,InputPlayers!$C$6:$C$305,$C53,InputPlayers!$D$6:$D$305,$D53,InputPlayers!$O$6:$O$305,"Да"))</x:f>
      </x:c>
      <x:c r="G53" s="44">
        <x:f>IF($A53="","",SUMIFS(InputPlayers!$N$6:$N$305,InputPlayers!$A$6:$A$305,$A53,InputPlayers!$B$6:$B$305,$B53,InputPlayers!$C$6:$C$305,$C53,InputPlayers!$D$6:$D$305,$D53,InputPlayers!$O$6:$O$305,"Да"))</x:f>
      </x:c>
      <x:c r="H53" s="44">
        <x:f>IF(InputPlayers!A54="","",TEXT(InputPlayers!A54,"dd.mm.yyyy")&amp;"|"&amp;InputPlayers!B54&amp;"|"&amp;InputPlayers!C54&amp;"|"&amp;InputPlayers!D54)</x:f>
      </x:c>
    </x:row>
    <x:row r="54">
      <x:c r="A54" s="42">
        <x:f>IF(H54="","",IF(COUNTIF($H$5:H54,H54)&gt;1,"",InputPlayers!A55))</x:f>
      </x:c>
      <x:c r="B54" s="43">
        <x:f>IF($A54="","",InputPlayers!B55)</x:f>
      </x:c>
      <x:c r="C54" s="43">
        <x:f>IF($A54="","",InputPlayers!C55)</x:f>
      </x:c>
      <x:c r="D54" s="44">
        <x:f>IF($A54="","",InputPlayers!D55)</x:f>
      </x:c>
      <x:c r="E54" s="44">
        <x:f>IF($A54="","",InputPlayers!E55)</x:f>
      </x:c>
      <x:c r="F54" s="44">
        <x:f>IF($A54="","",COUNTIFS(InputPlayers!$A$6:$A$305,$A54,InputPlayers!$B$6:$B$305,$B54,InputPlayers!$C$6:$C$305,$C54,InputPlayers!$D$6:$D$305,$D54,InputPlayers!$O$6:$O$305,"Да"))</x:f>
      </x:c>
      <x:c r="G54" s="44">
        <x:f>IF($A54="","",SUMIFS(InputPlayers!$N$6:$N$305,InputPlayers!$A$6:$A$305,$A54,InputPlayers!$B$6:$B$305,$B54,InputPlayers!$C$6:$C$305,$C54,InputPlayers!$D$6:$D$305,$D54,InputPlayers!$O$6:$O$305,"Да"))</x:f>
      </x:c>
      <x:c r="H54" s="44">
        <x:f>IF(InputPlayers!A55="","",TEXT(InputPlayers!A55,"dd.mm.yyyy")&amp;"|"&amp;InputPlayers!B55&amp;"|"&amp;InputPlayers!C55&amp;"|"&amp;InputPlayers!D55)</x:f>
      </x:c>
    </x:row>
    <x:row r="55">
      <x:c r="A55" s="42">
        <x:f>IF(H55="","",IF(COUNTIF($H$5:H55,H55)&gt;1,"",InputPlayers!A56))</x:f>
      </x:c>
      <x:c r="B55" s="43">
        <x:f>IF($A55="","",InputPlayers!B56)</x:f>
      </x:c>
      <x:c r="C55" s="43">
        <x:f>IF($A55="","",InputPlayers!C56)</x:f>
      </x:c>
      <x:c r="D55" s="44">
        <x:f>IF($A55="","",InputPlayers!D56)</x:f>
      </x:c>
      <x:c r="E55" s="44">
        <x:f>IF($A55="","",InputPlayers!E56)</x:f>
      </x:c>
      <x:c r="F55" s="44">
        <x:f>IF($A55="","",COUNTIFS(InputPlayers!$A$6:$A$305,$A55,InputPlayers!$B$6:$B$305,$B55,InputPlayers!$C$6:$C$305,$C55,InputPlayers!$D$6:$D$305,$D55,InputPlayers!$O$6:$O$305,"Да"))</x:f>
      </x:c>
      <x:c r="G55" s="44">
        <x:f>IF($A55="","",SUMIFS(InputPlayers!$N$6:$N$305,InputPlayers!$A$6:$A$305,$A55,InputPlayers!$B$6:$B$305,$B55,InputPlayers!$C$6:$C$305,$C55,InputPlayers!$D$6:$D$305,$D55,InputPlayers!$O$6:$O$305,"Да"))</x:f>
      </x:c>
      <x:c r="H55" s="44">
        <x:f>IF(InputPlayers!A56="","",TEXT(InputPlayers!A56,"dd.mm.yyyy")&amp;"|"&amp;InputPlayers!B56&amp;"|"&amp;InputPlayers!C56&amp;"|"&amp;InputPlayers!D56)</x:f>
      </x:c>
    </x:row>
    <x:row r="56">
      <x:c r="A56" s="42">
        <x:f>IF(H56="","",IF(COUNTIF($H$5:H56,H56)&gt;1,"",InputPlayers!A57))</x:f>
      </x:c>
      <x:c r="B56" s="43">
        <x:f>IF($A56="","",InputPlayers!B57)</x:f>
      </x:c>
      <x:c r="C56" s="43">
        <x:f>IF($A56="","",InputPlayers!C57)</x:f>
      </x:c>
      <x:c r="D56" s="44">
        <x:f>IF($A56="","",InputPlayers!D57)</x:f>
      </x:c>
      <x:c r="E56" s="44">
        <x:f>IF($A56="","",InputPlayers!E57)</x:f>
      </x:c>
      <x:c r="F56" s="44">
        <x:f>IF($A56="","",COUNTIFS(InputPlayers!$A$6:$A$305,$A56,InputPlayers!$B$6:$B$305,$B56,InputPlayers!$C$6:$C$305,$C56,InputPlayers!$D$6:$D$305,$D56,InputPlayers!$O$6:$O$305,"Да"))</x:f>
      </x:c>
      <x:c r="G56" s="44">
        <x:f>IF($A56="","",SUMIFS(InputPlayers!$N$6:$N$305,InputPlayers!$A$6:$A$305,$A56,InputPlayers!$B$6:$B$305,$B56,InputPlayers!$C$6:$C$305,$C56,InputPlayers!$D$6:$D$305,$D56,InputPlayers!$O$6:$O$305,"Да"))</x:f>
      </x:c>
      <x:c r="H56" s="44">
        <x:f>IF(InputPlayers!A57="","",TEXT(InputPlayers!A57,"dd.mm.yyyy")&amp;"|"&amp;InputPlayers!B57&amp;"|"&amp;InputPlayers!C57&amp;"|"&amp;InputPlayers!D57)</x:f>
      </x:c>
    </x:row>
    <x:row r="57">
      <x:c r="A57" s="42">
        <x:f>IF(H57="","",IF(COUNTIF($H$5:H57,H57)&gt;1,"",InputPlayers!A58))</x:f>
      </x:c>
      <x:c r="B57" s="43">
        <x:f>IF($A57="","",InputPlayers!B58)</x:f>
      </x:c>
      <x:c r="C57" s="43">
        <x:f>IF($A57="","",InputPlayers!C58)</x:f>
      </x:c>
      <x:c r="D57" s="44">
        <x:f>IF($A57="","",InputPlayers!D58)</x:f>
      </x:c>
      <x:c r="E57" s="44">
        <x:f>IF($A57="","",InputPlayers!E58)</x:f>
      </x:c>
      <x:c r="F57" s="44">
        <x:f>IF($A57="","",COUNTIFS(InputPlayers!$A$6:$A$305,$A57,InputPlayers!$B$6:$B$305,$B57,InputPlayers!$C$6:$C$305,$C57,InputPlayers!$D$6:$D$305,$D57,InputPlayers!$O$6:$O$305,"Да"))</x:f>
      </x:c>
      <x:c r="G57" s="44">
        <x:f>IF($A57="","",SUMIFS(InputPlayers!$N$6:$N$305,InputPlayers!$A$6:$A$305,$A57,InputPlayers!$B$6:$B$305,$B57,InputPlayers!$C$6:$C$305,$C57,InputPlayers!$D$6:$D$305,$D57,InputPlayers!$O$6:$O$305,"Да"))</x:f>
      </x:c>
      <x:c r="H57" s="44">
        <x:f>IF(InputPlayers!A58="","",TEXT(InputPlayers!A58,"dd.mm.yyyy")&amp;"|"&amp;InputPlayers!B58&amp;"|"&amp;InputPlayers!C58&amp;"|"&amp;InputPlayers!D58)</x:f>
      </x:c>
    </x:row>
    <x:row r="58">
      <x:c r="A58" s="42">
        <x:f>IF(H58="","",IF(COUNTIF($H$5:H58,H58)&gt;1,"",InputPlayers!A59))</x:f>
      </x:c>
      <x:c r="B58" s="43">
        <x:f>IF($A58="","",InputPlayers!B59)</x:f>
      </x:c>
      <x:c r="C58" s="43">
        <x:f>IF($A58="","",InputPlayers!C59)</x:f>
      </x:c>
      <x:c r="D58" s="44">
        <x:f>IF($A58="","",InputPlayers!D59)</x:f>
      </x:c>
      <x:c r="E58" s="44">
        <x:f>IF($A58="","",InputPlayers!E59)</x:f>
      </x:c>
      <x:c r="F58" s="44">
        <x:f>IF($A58="","",COUNTIFS(InputPlayers!$A$6:$A$305,$A58,InputPlayers!$B$6:$B$305,$B58,InputPlayers!$C$6:$C$305,$C58,InputPlayers!$D$6:$D$305,$D58,InputPlayers!$O$6:$O$305,"Да"))</x:f>
      </x:c>
      <x:c r="G58" s="44">
        <x:f>IF($A58="","",SUMIFS(InputPlayers!$N$6:$N$305,InputPlayers!$A$6:$A$305,$A58,InputPlayers!$B$6:$B$305,$B58,InputPlayers!$C$6:$C$305,$C58,InputPlayers!$D$6:$D$305,$D58,InputPlayers!$O$6:$O$305,"Да"))</x:f>
      </x:c>
      <x:c r="H58" s="44">
        <x:f>IF(InputPlayers!A59="","",TEXT(InputPlayers!A59,"dd.mm.yyyy")&amp;"|"&amp;InputPlayers!B59&amp;"|"&amp;InputPlayers!C59&amp;"|"&amp;InputPlayers!D59)</x:f>
      </x:c>
    </x:row>
    <x:row r="59">
      <x:c r="A59" s="42">
        <x:f>IF(H59="","",IF(COUNTIF($H$5:H59,H59)&gt;1,"",InputPlayers!A60))</x:f>
      </x:c>
      <x:c r="B59" s="43">
        <x:f>IF($A59="","",InputPlayers!B60)</x:f>
      </x:c>
      <x:c r="C59" s="43">
        <x:f>IF($A59="","",InputPlayers!C60)</x:f>
      </x:c>
      <x:c r="D59" s="44">
        <x:f>IF($A59="","",InputPlayers!D60)</x:f>
      </x:c>
      <x:c r="E59" s="44">
        <x:f>IF($A59="","",InputPlayers!E60)</x:f>
      </x:c>
      <x:c r="F59" s="44">
        <x:f>IF($A59="","",COUNTIFS(InputPlayers!$A$6:$A$305,$A59,InputPlayers!$B$6:$B$305,$B59,InputPlayers!$C$6:$C$305,$C59,InputPlayers!$D$6:$D$305,$D59,InputPlayers!$O$6:$O$305,"Да"))</x:f>
      </x:c>
      <x:c r="G59" s="44">
        <x:f>IF($A59="","",SUMIFS(InputPlayers!$N$6:$N$305,InputPlayers!$A$6:$A$305,$A59,InputPlayers!$B$6:$B$305,$B59,InputPlayers!$C$6:$C$305,$C59,InputPlayers!$D$6:$D$305,$D59,InputPlayers!$O$6:$O$305,"Да"))</x:f>
      </x:c>
      <x:c r="H59" s="44">
        <x:f>IF(InputPlayers!A60="","",TEXT(InputPlayers!A60,"dd.mm.yyyy")&amp;"|"&amp;InputPlayers!B60&amp;"|"&amp;InputPlayers!C60&amp;"|"&amp;InputPlayers!D60)</x:f>
      </x:c>
    </x:row>
    <x:row r="60">
      <x:c r="A60" s="42">
        <x:f>IF(H60="","",IF(COUNTIF($H$5:H60,H60)&gt;1,"",InputPlayers!A61))</x:f>
      </x:c>
      <x:c r="B60" s="43">
        <x:f>IF($A60="","",InputPlayers!B61)</x:f>
      </x:c>
      <x:c r="C60" s="43">
        <x:f>IF($A60="","",InputPlayers!C61)</x:f>
      </x:c>
      <x:c r="D60" s="44">
        <x:f>IF($A60="","",InputPlayers!D61)</x:f>
      </x:c>
      <x:c r="E60" s="44">
        <x:f>IF($A60="","",InputPlayers!E61)</x:f>
      </x:c>
      <x:c r="F60" s="44">
        <x:f>IF($A60="","",COUNTIFS(InputPlayers!$A$6:$A$305,$A60,InputPlayers!$B$6:$B$305,$B60,InputPlayers!$C$6:$C$305,$C60,InputPlayers!$D$6:$D$305,$D60,InputPlayers!$O$6:$O$305,"Да"))</x:f>
      </x:c>
      <x:c r="G60" s="44">
        <x:f>IF($A60="","",SUMIFS(InputPlayers!$N$6:$N$305,InputPlayers!$A$6:$A$305,$A60,InputPlayers!$B$6:$B$305,$B60,InputPlayers!$C$6:$C$305,$C60,InputPlayers!$D$6:$D$305,$D60,InputPlayers!$O$6:$O$305,"Да"))</x:f>
      </x:c>
      <x:c r="H60" s="44">
        <x:f>IF(InputPlayers!A61="","",TEXT(InputPlayers!A61,"dd.mm.yyyy")&amp;"|"&amp;InputPlayers!B61&amp;"|"&amp;InputPlayers!C61&amp;"|"&amp;InputPlayers!D61)</x:f>
      </x:c>
    </x:row>
    <x:row r="61">
      <x:c r="A61" s="42">
        <x:f>IF(H61="","",IF(COUNTIF($H$5:H61,H61)&gt;1,"",InputPlayers!A62))</x:f>
      </x:c>
      <x:c r="B61" s="43">
        <x:f>IF($A61="","",InputPlayers!B62)</x:f>
      </x:c>
      <x:c r="C61" s="43">
        <x:f>IF($A61="","",InputPlayers!C62)</x:f>
      </x:c>
      <x:c r="D61" s="44">
        <x:f>IF($A61="","",InputPlayers!D62)</x:f>
      </x:c>
      <x:c r="E61" s="44">
        <x:f>IF($A61="","",InputPlayers!E62)</x:f>
      </x:c>
      <x:c r="F61" s="44">
        <x:f>IF($A61="","",COUNTIFS(InputPlayers!$A$6:$A$305,$A61,InputPlayers!$B$6:$B$305,$B61,InputPlayers!$C$6:$C$305,$C61,InputPlayers!$D$6:$D$305,$D61,InputPlayers!$O$6:$O$305,"Да"))</x:f>
      </x:c>
      <x:c r="G61" s="44">
        <x:f>IF($A61="","",SUMIFS(InputPlayers!$N$6:$N$305,InputPlayers!$A$6:$A$305,$A61,InputPlayers!$B$6:$B$305,$B61,InputPlayers!$C$6:$C$305,$C61,InputPlayers!$D$6:$D$305,$D61,InputPlayers!$O$6:$O$305,"Да"))</x:f>
      </x:c>
      <x:c r="H61" s="44">
        <x:f>IF(InputPlayers!A62="","",TEXT(InputPlayers!A62,"dd.mm.yyyy")&amp;"|"&amp;InputPlayers!B62&amp;"|"&amp;InputPlayers!C62&amp;"|"&amp;InputPlayers!D62)</x:f>
      </x:c>
    </x:row>
    <x:row r="62">
      <x:c r="A62" s="42">
        <x:f>IF(H62="","",IF(COUNTIF($H$5:H62,H62)&gt;1,"",InputPlayers!A63))</x:f>
      </x:c>
      <x:c r="B62" s="43">
        <x:f>IF($A62="","",InputPlayers!B63)</x:f>
      </x:c>
      <x:c r="C62" s="43">
        <x:f>IF($A62="","",InputPlayers!C63)</x:f>
      </x:c>
      <x:c r="D62" s="44">
        <x:f>IF($A62="","",InputPlayers!D63)</x:f>
      </x:c>
      <x:c r="E62" s="44">
        <x:f>IF($A62="","",InputPlayers!E63)</x:f>
      </x:c>
      <x:c r="F62" s="44">
        <x:f>IF($A62="","",COUNTIFS(InputPlayers!$A$6:$A$305,$A62,InputPlayers!$B$6:$B$305,$B62,InputPlayers!$C$6:$C$305,$C62,InputPlayers!$D$6:$D$305,$D62,InputPlayers!$O$6:$O$305,"Да"))</x:f>
      </x:c>
      <x:c r="G62" s="44">
        <x:f>IF($A62="","",SUMIFS(InputPlayers!$N$6:$N$305,InputPlayers!$A$6:$A$305,$A62,InputPlayers!$B$6:$B$305,$B62,InputPlayers!$C$6:$C$305,$C62,InputPlayers!$D$6:$D$305,$D62,InputPlayers!$O$6:$O$305,"Да"))</x:f>
      </x:c>
      <x:c r="H62" s="44">
        <x:f>IF(InputPlayers!A63="","",TEXT(InputPlayers!A63,"dd.mm.yyyy")&amp;"|"&amp;InputPlayers!B63&amp;"|"&amp;InputPlayers!C63&amp;"|"&amp;InputPlayers!D63)</x:f>
      </x:c>
    </x:row>
    <x:row r="63">
      <x:c r="A63" s="42">
        <x:f>IF(H63="","",IF(COUNTIF($H$5:H63,H63)&gt;1,"",InputPlayers!A64))</x:f>
      </x:c>
      <x:c r="B63" s="43">
        <x:f>IF($A63="","",InputPlayers!B64)</x:f>
      </x:c>
      <x:c r="C63" s="43">
        <x:f>IF($A63="","",InputPlayers!C64)</x:f>
      </x:c>
      <x:c r="D63" s="44">
        <x:f>IF($A63="","",InputPlayers!D64)</x:f>
      </x:c>
      <x:c r="E63" s="44">
        <x:f>IF($A63="","",InputPlayers!E64)</x:f>
      </x:c>
      <x:c r="F63" s="44">
        <x:f>IF($A63="","",COUNTIFS(InputPlayers!$A$6:$A$305,$A63,InputPlayers!$B$6:$B$305,$B63,InputPlayers!$C$6:$C$305,$C63,InputPlayers!$D$6:$D$305,$D63,InputPlayers!$O$6:$O$305,"Да"))</x:f>
      </x:c>
      <x:c r="G63" s="44">
        <x:f>IF($A63="","",SUMIFS(InputPlayers!$N$6:$N$305,InputPlayers!$A$6:$A$305,$A63,InputPlayers!$B$6:$B$305,$B63,InputPlayers!$C$6:$C$305,$C63,InputPlayers!$D$6:$D$305,$D63,InputPlayers!$O$6:$O$305,"Да"))</x:f>
      </x:c>
      <x:c r="H63" s="44">
        <x:f>IF(InputPlayers!A64="","",TEXT(InputPlayers!A64,"dd.mm.yyyy")&amp;"|"&amp;InputPlayers!B64&amp;"|"&amp;InputPlayers!C64&amp;"|"&amp;InputPlayers!D64)</x:f>
      </x:c>
    </x:row>
    <x:row r="64">
      <x:c r="A64" s="42">
        <x:f>IF(H64="","",IF(COUNTIF($H$5:H64,H64)&gt;1,"",InputPlayers!A65))</x:f>
      </x:c>
      <x:c r="B64" s="43">
        <x:f>IF($A64="","",InputPlayers!B65)</x:f>
      </x:c>
      <x:c r="C64" s="43">
        <x:f>IF($A64="","",InputPlayers!C65)</x:f>
      </x:c>
      <x:c r="D64" s="44">
        <x:f>IF($A64="","",InputPlayers!D65)</x:f>
      </x:c>
      <x:c r="E64" s="44">
        <x:f>IF($A64="","",InputPlayers!E65)</x:f>
      </x:c>
      <x:c r="F64" s="44">
        <x:f>IF($A64="","",COUNTIFS(InputPlayers!$A$6:$A$305,$A64,InputPlayers!$B$6:$B$305,$B64,InputPlayers!$C$6:$C$305,$C64,InputPlayers!$D$6:$D$305,$D64,InputPlayers!$O$6:$O$305,"Да"))</x:f>
      </x:c>
      <x:c r="G64" s="44">
        <x:f>IF($A64="","",SUMIFS(InputPlayers!$N$6:$N$305,InputPlayers!$A$6:$A$305,$A64,InputPlayers!$B$6:$B$305,$B64,InputPlayers!$C$6:$C$305,$C64,InputPlayers!$D$6:$D$305,$D64,InputPlayers!$O$6:$O$305,"Да"))</x:f>
      </x:c>
      <x:c r="H64" s="44">
        <x:f>IF(InputPlayers!A65="","",TEXT(InputPlayers!A65,"dd.mm.yyyy")&amp;"|"&amp;InputPlayers!B65&amp;"|"&amp;InputPlayers!C65&amp;"|"&amp;InputPlayers!D65)</x:f>
      </x:c>
    </x:row>
    <x:row r="65">
      <x:c r="A65" s="42">
        <x:f>IF(H65="","",IF(COUNTIF($H$5:H65,H65)&gt;1,"",InputPlayers!A66))</x:f>
      </x:c>
      <x:c r="B65" s="43">
        <x:f>IF($A65="","",InputPlayers!B66)</x:f>
      </x:c>
      <x:c r="C65" s="43">
        <x:f>IF($A65="","",InputPlayers!C66)</x:f>
      </x:c>
      <x:c r="D65" s="44">
        <x:f>IF($A65="","",InputPlayers!D66)</x:f>
      </x:c>
      <x:c r="E65" s="44">
        <x:f>IF($A65="","",InputPlayers!E66)</x:f>
      </x:c>
      <x:c r="F65" s="44">
        <x:f>IF($A65="","",COUNTIFS(InputPlayers!$A$6:$A$305,$A65,InputPlayers!$B$6:$B$305,$B65,InputPlayers!$C$6:$C$305,$C65,InputPlayers!$D$6:$D$305,$D65,InputPlayers!$O$6:$O$305,"Да"))</x:f>
      </x:c>
      <x:c r="G65" s="44">
        <x:f>IF($A65="","",SUMIFS(InputPlayers!$N$6:$N$305,InputPlayers!$A$6:$A$305,$A65,InputPlayers!$B$6:$B$305,$B65,InputPlayers!$C$6:$C$305,$C65,InputPlayers!$D$6:$D$305,$D65,InputPlayers!$O$6:$O$305,"Да"))</x:f>
      </x:c>
      <x:c r="H65" s="44">
        <x:f>IF(InputPlayers!A66="","",TEXT(InputPlayers!A66,"dd.mm.yyyy")&amp;"|"&amp;InputPlayers!B66&amp;"|"&amp;InputPlayers!C66&amp;"|"&amp;InputPlayers!D66)</x:f>
      </x:c>
    </x:row>
    <x:row r="66">
      <x:c r="A66" s="42">
        <x:f>IF(H66="","",IF(COUNTIF($H$5:H66,H66)&gt;1,"",InputPlayers!A67))</x:f>
      </x:c>
      <x:c r="B66" s="43">
        <x:f>IF($A66="","",InputPlayers!B67)</x:f>
      </x:c>
      <x:c r="C66" s="43">
        <x:f>IF($A66="","",InputPlayers!C67)</x:f>
      </x:c>
      <x:c r="D66" s="44">
        <x:f>IF($A66="","",InputPlayers!D67)</x:f>
      </x:c>
      <x:c r="E66" s="44">
        <x:f>IF($A66="","",InputPlayers!E67)</x:f>
      </x:c>
      <x:c r="F66" s="44">
        <x:f>IF($A66="","",COUNTIFS(InputPlayers!$A$6:$A$305,$A66,InputPlayers!$B$6:$B$305,$B66,InputPlayers!$C$6:$C$305,$C66,InputPlayers!$D$6:$D$305,$D66,InputPlayers!$O$6:$O$305,"Да"))</x:f>
      </x:c>
      <x:c r="G66" s="44">
        <x:f>IF($A66="","",SUMIFS(InputPlayers!$N$6:$N$305,InputPlayers!$A$6:$A$305,$A66,InputPlayers!$B$6:$B$305,$B66,InputPlayers!$C$6:$C$305,$C66,InputPlayers!$D$6:$D$305,$D66,InputPlayers!$O$6:$O$305,"Да"))</x:f>
      </x:c>
      <x:c r="H66" s="44">
        <x:f>IF(InputPlayers!A67="","",TEXT(InputPlayers!A67,"dd.mm.yyyy")&amp;"|"&amp;InputPlayers!B67&amp;"|"&amp;InputPlayers!C67&amp;"|"&amp;InputPlayers!D67)</x:f>
      </x:c>
    </x:row>
    <x:row r="67">
      <x:c r="A67" s="42">
        <x:f>IF(H67="","",IF(COUNTIF($H$5:H67,H67)&gt;1,"",InputPlayers!A68))</x:f>
      </x:c>
      <x:c r="B67" s="43">
        <x:f>IF($A67="","",InputPlayers!B68)</x:f>
      </x:c>
      <x:c r="C67" s="43">
        <x:f>IF($A67="","",InputPlayers!C68)</x:f>
      </x:c>
      <x:c r="D67" s="44">
        <x:f>IF($A67="","",InputPlayers!D68)</x:f>
      </x:c>
      <x:c r="E67" s="44">
        <x:f>IF($A67="","",InputPlayers!E68)</x:f>
      </x:c>
      <x:c r="F67" s="44">
        <x:f>IF($A67="","",COUNTIFS(InputPlayers!$A$6:$A$305,$A67,InputPlayers!$B$6:$B$305,$B67,InputPlayers!$C$6:$C$305,$C67,InputPlayers!$D$6:$D$305,$D67,InputPlayers!$O$6:$O$305,"Да"))</x:f>
      </x:c>
      <x:c r="G67" s="44">
        <x:f>IF($A67="","",SUMIFS(InputPlayers!$N$6:$N$305,InputPlayers!$A$6:$A$305,$A67,InputPlayers!$B$6:$B$305,$B67,InputPlayers!$C$6:$C$305,$C67,InputPlayers!$D$6:$D$305,$D67,InputPlayers!$O$6:$O$305,"Да"))</x:f>
      </x:c>
      <x:c r="H67" s="44">
        <x:f>IF(InputPlayers!A68="","",TEXT(InputPlayers!A68,"dd.mm.yyyy")&amp;"|"&amp;InputPlayers!B68&amp;"|"&amp;InputPlayers!C68&amp;"|"&amp;InputPlayers!D68)</x:f>
      </x:c>
    </x:row>
    <x:row r="68">
      <x:c r="A68" s="42">
        <x:f>IF(H68="","",IF(COUNTIF($H$5:H68,H68)&gt;1,"",InputPlayers!A69))</x:f>
      </x:c>
      <x:c r="B68" s="43">
        <x:f>IF($A68="","",InputPlayers!B69)</x:f>
      </x:c>
      <x:c r="C68" s="43">
        <x:f>IF($A68="","",InputPlayers!C69)</x:f>
      </x:c>
      <x:c r="D68" s="44">
        <x:f>IF($A68="","",InputPlayers!D69)</x:f>
      </x:c>
      <x:c r="E68" s="44">
        <x:f>IF($A68="","",InputPlayers!E69)</x:f>
      </x:c>
      <x:c r="F68" s="44">
        <x:f>IF($A68="","",COUNTIFS(InputPlayers!$A$6:$A$305,$A68,InputPlayers!$B$6:$B$305,$B68,InputPlayers!$C$6:$C$305,$C68,InputPlayers!$D$6:$D$305,$D68,InputPlayers!$O$6:$O$305,"Да"))</x:f>
      </x:c>
      <x:c r="G68" s="44">
        <x:f>IF($A68="","",SUMIFS(InputPlayers!$N$6:$N$305,InputPlayers!$A$6:$A$305,$A68,InputPlayers!$B$6:$B$305,$B68,InputPlayers!$C$6:$C$305,$C68,InputPlayers!$D$6:$D$305,$D68,InputPlayers!$O$6:$O$305,"Да"))</x:f>
      </x:c>
      <x:c r="H68" s="44">
        <x:f>IF(InputPlayers!A69="","",TEXT(InputPlayers!A69,"dd.mm.yyyy")&amp;"|"&amp;InputPlayers!B69&amp;"|"&amp;InputPlayers!C69&amp;"|"&amp;InputPlayers!D69)</x:f>
      </x:c>
    </x:row>
    <x:row r="69">
      <x:c r="A69" s="42">
        <x:f>IF(H69="","",IF(COUNTIF($H$5:H69,H69)&gt;1,"",InputPlayers!A70))</x:f>
      </x:c>
      <x:c r="B69" s="43">
        <x:f>IF($A69="","",InputPlayers!B70)</x:f>
      </x:c>
      <x:c r="C69" s="43">
        <x:f>IF($A69="","",InputPlayers!C70)</x:f>
      </x:c>
      <x:c r="D69" s="44">
        <x:f>IF($A69="","",InputPlayers!D70)</x:f>
      </x:c>
      <x:c r="E69" s="44">
        <x:f>IF($A69="","",InputPlayers!E70)</x:f>
      </x:c>
      <x:c r="F69" s="44">
        <x:f>IF($A69="","",COUNTIFS(InputPlayers!$A$6:$A$305,$A69,InputPlayers!$B$6:$B$305,$B69,InputPlayers!$C$6:$C$305,$C69,InputPlayers!$D$6:$D$305,$D69,InputPlayers!$O$6:$O$305,"Да"))</x:f>
      </x:c>
      <x:c r="G69" s="44">
        <x:f>IF($A69="","",SUMIFS(InputPlayers!$N$6:$N$305,InputPlayers!$A$6:$A$305,$A69,InputPlayers!$B$6:$B$305,$B69,InputPlayers!$C$6:$C$305,$C69,InputPlayers!$D$6:$D$305,$D69,InputPlayers!$O$6:$O$305,"Да"))</x:f>
      </x:c>
      <x:c r="H69" s="44">
        <x:f>IF(InputPlayers!A70="","",TEXT(InputPlayers!A70,"dd.mm.yyyy")&amp;"|"&amp;InputPlayers!B70&amp;"|"&amp;InputPlayers!C70&amp;"|"&amp;InputPlayers!D70)</x:f>
      </x:c>
    </x:row>
    <x:row r="70">
      <x:c r="A70" s="42">
        <x:f>IF(H70="","",IF(COUNTIF($H$5:H70,H70)&gt;1,"",InputPlayers!A71))</x:f>
      </x:c>
      <x:c r="B70" s="43">
        <x:f>IF($A70="","",InputPlayers!B71)</x:f>
      </x:c>
      <x:c r="C70" s="43">
        <x:f>IF($A70="","",InputPlayers!C71)</x:f>
      </x:c>
      <x:c r="D70" s="44">
        <x:f>IF($A70="","",InputPlayers!D71)</x:f>
      </x:c>
      <x:c r="E70" s="44">
        <x:f>IF($A70="","",InputPlayers!E71)</x:f>
      </x:c>
      <x:c r="F70" s="44">
        <x:f>IF($A70="","",COUNTIFS(InputPlayers!$A$6:$A$305,$A70,InputPlayers!$B$6:$B$305,$B70,InputPlayers!$C$6:$C$305,$C70,InputPlayers!$D$6:$D$305,$D70,InputPlayers!$O$6:$O$305,"Да"))</x:f>
      </x:c>
      <x:c r="G70" s="44">
        <x:f>IF($A70="","",SUMIFS(InputPlayers!$N$6:$N$305,InputPlayers!$A$6:$A$305,$A70,InputPlayers!$B$6:$B$305,$B70,InputPlayers!$C$6:$C$305,$C70,InputPlayers!$D$6:$D$305,$D70,InputPlayers!$O$6:$O$305,"Да"))</x:f>
      </x:c>
      <x:c r="H70" s="44">
        <x:f>IF(InputPlayers!A71="","",TEXT(InputPlayers!A71,"dd.mm.yyyy")&amp;"|"&amp;InputPlayers!B71&amp;"|"&amp;InputPlayers!C71&amp;"|"&amp;InputPlayers!D71)</x:f>
      </x:c>
    </x:row>
    <x:row r="71">
      <x:c r="A71" s="42">
        <x:f>IF(H71="","",IF(COUNTIF($H$5:H71,H71)&gt;1,"",InputPlayers!A72))</x:f>
      </x:c>
      <x:c r="B71" s="43">
        <x:f>IF($A71="","",InputPlayers!B72)</x:f>
      </x:c>
      <x:c r="C71" s="43">
        <x:f>IF($A71="","",InputPlayers!C72)</x:f>
      </x:c>
      <x:c r="D71" s="44">
        <x:f>IF($A71="","",InputPlayers!D72)</x:f>
      </x:c>
      <x:c r="E71" s="44">
        <x:f>IF($A71="","",InputPlayers!E72)</x:f>
      </x:c>
      <x:c r="F71" s="44">
        <x:f>IF($A71="","",COUNTIFS(InputPlayers!$A$6:$A$305,$A71,InputPlayers!$B$6:$B$305,$B71,InputPlayers!$C$6:$C$305,$C71,InputPlayers!$D$6:$D$305,$D71,InputPlayers!$O$6:$O$305,"Да"))</x:f>
      </x:c>
      <x:c r="G71" s="44">
        <x:f>IF($A71="","",SUMIFS(InputPlayers!$N$6:$N$305,InputPlayers!$A$6:$A$305,$A71,InputPlayers!$B$6:$B$305,$B71,InputPlayers!$C$6:$C$305,$C71,InputPlayers!$D$6:$D$305,$D71,InputPlayers!$O$6:$O$305,"Да"))</x:f>
      </x:c>
      <x:c r="H71" s="44">
        <x:f>IF(InputPlayers!A72="","",TEXT(InputPlayers!A72,"dd.mm.yyyy")&amp;"|"&amp;InputPlayers!B72&amp;"|"&amp;InputPlayers!C72&amp;"|"&amp;InputPlayers!D72)</x:f>
      </x:c>
    </x:row>
    <x:row r="72">
      <x:c r="A72" s="42">
        <x:f>IF(H72="","",IF(COUNTIF($H$5:H72,H72)&gt;1,"",InputPlayers!A73))</x:f>
      </x:c>
      <x:c r="B72" s="43">
        <x:f>IF($A72="","",InputPlayers!B73)</x:f>
      </x:c>
      <x:c r="C72" s="43">
        <x:f>IF($A72="","",InputPlayers!C73)</x:f>
      </x:c>
      <x:c r="D72" s="44">
        <x:f>IF($A72="","",InputPlayers!D73)</x:f>
      </x:c>
      <x:c r="E72" s="44">
        <x:f>IF($A72="","",InputPlayers!E73)</x:f>
      </x:c>
      <x:c r="F72" s="44">
        <x:f>IF($A72="","",COUNTIFS(InputPlayers!$A$6:$A$305,$A72,InputPlayers!$B$6:$B$305,$B72,InputPlayers!$C$6:$C$305,$C72,InputPlayers!$D$6:$D$305,$D72,InputPlayers!$O$6:$O$305,"Да"))</x:f>
      </x:c>
      <x:c r="G72" s="44">
        <x:f>IF($A72="","",SUMIFS(InputPlayers!$N$6:$N$305,InputPlayers!$A$6:$A$305,$A72,InputPlayers!$B$6:$B$305,$B72,InputPlayers!$C$6:$C$305,$C72,InputPlayers!$D$6:$D$305,$D72,InputPlayers!$O$6:$O$305,"Да"))</x:f>
      </x:c>
      <x:c r="H72" s="44">
        <x:f>IF(InputPlayers!A73="","",TEXT(InputPlayers!A73,"dd.mm.yyyy")&amp;"|"&amp;InputPlayers!B73&amp;"|"&amp;InputPlayers!C73&amp;"|"&amp;InputPlayers!D73)</x:f>
      </x:c>
    </x:row>
    <x:row r="73">
      <x:c r="A73" s="42">
        <x:f>IF(H73="","",IF(COUNTIF($H$5:H73,H73)&gt;1,"",InputPlayers!A74))</x:f>
      </x:c>
      <x:c r="B73" s="43">
        <x:f>IF($A73="","",InputPlayers!B74)</x:f>
      </x:c>
      <x:c r="C73" s="43">
        <x:f>IF($A73="","",InputPlayers!C74)</x:f>
      </x:c>
      <x:c r="D73" s="44">
        <x:f>IF($A73="","",InputPlayers!D74)</x:f>
      </x:c>
      <x:c r="E73" s="44">
        <x:f>IF($A73="","",InputPlayers!E74)</x:f>
      </x:c>
      <x:c r="F73" s="44">
        <x:f>IF($A73="","",COUNTIFS(InputPlayers!$A$6:$A$305,$A73,InputPlayers!$B$6:$B$305,$B73,InputPlayers!$C$6:$C$305,$C73,InputPlayers!$D$6:$D$305,$D73,InputPlayers!$O$6:$O$305,"Да"))</x:f>
      </x:c>
      <x:c r="G73" s="44">
        <x:f>IF($A73="","",SUMIFS(InputPlayers!$N$6:$N$305,InputPlayers!$A$6:$A$305,$A73,InputPlayers!$B$6:$B$305,$B73,InputPlayers!$C$6:$C$305,$C73,InputPlayers!$D$6:$D$305,$D73,InputPlayers!$O$6:$O$305,"Да"))</x:f>
      </x:c>
      <x:c r="H73" s="44">
        <x:f>IF(InputPlayers!A74="","",TEXT(InputPlayers!A74,"dd.mm.yyyy")&amp;"|"&amp;InputPlayers!B74&amp;"|"&amp;InputPlayers!C74&amp;"|"&amp;InputPlayers!D74)</x:f>
      </x:c>
    </x:row>
    <x:row r="74">
      <x:c r="A74" s="42">
        <x:f>IF(H74="","",IF(COUNTIF($H$5:H74,H74)&gt;1,"",InputPlayers!A75))</x:f>
      </x:c>
      <x:c r="B74" s="43">
        <x:f>IF($A74="","",InputPlayers!B75)</x:f>
      </x:c>
      <x:c r="C74" s="43">
        <x:f>IF($A74="","",InputPlayers!C75)</x:f>
      </x:c>
      <x:c r="D74" s="44">
        <x:f>IF($A74="","",InputPlayers!D75)</x:f>
      </x:c>
      <x:c r="E74" s="44">
        <x:f>IF($A74="","",InputPlayers!E75)</x:f>
      </x:c>
      <x:c r="F74" s="44">
        <x:f>IF($A74="","",COUNTIFS(InputPlayers!$A$6:$A$305,$A74,InputPlayers!$B$6:$B$305,$B74,InputPlayers!$C$6:$C$305,$C74,InputPlayers!$D$6:$D$305,$D74,InputPlayers!$O$6:$O$305,"Да"))</x:f>
      </x:c>
      <x:c r="G74" s="44">
        <x:f>IF($A74="","",SUMIFS(InputPlayers!$N$6:$N$305,InputPlayers!$A$6:$A$305,$A74,InputPlayers!$B$6:$B$305,$B74,InputPlayers!$C$6:$C$305,$C74,InputPlayers!$D$6:$D$305,$D74,InputPlayers!$O$6:$O$305,"Да"))</x:f>
      </x:c>
      <x:c r="H74" s="44">
        <x:f>IF(InputPlayers!A75="","",TEXT(InputPlayers!A75,"dd.mm.yyyy")&amp;"|"&amp;InputPlayers!B75&amp;"|"&amp;InputPlayers!C75&amp;"|"&amp;InputPlayers!D75)</x:f>
      </x:c>
    </x:row>
    <x:row r="75">
      <x:c r="A75" s="42">
        <x:f>IF(H75="","",IF(COUNTIF($H$5:H75,H75)&gt;1,"",InputPlayers!A76))</x:f>
      </x:c>
      <x:c r="B75" s="43">
        <x:f>IF($A75="","",InputPlayers!B76)</x:f>
      </x:c>
      <x:c r="C75" s="43">
        <x:f>IF($A75="","",InputPlayers!C76)</x:f>
      </x:c>
      <x:c r="D75" s="44">
        <x:f>IF($A75="","",InputPlayers!D76)</x:f>
      </x:c>
      <x:c r="E75" s="44">
        <x:f>IF($A75="","",InputPlayers!E76)</x:f>
      </x:c>
      <x:c r="F75" s="44">
        <x:f>IF($A75="","",COUNTIFS(InputPlayers!$A$6:$A$305,$A75,InputPlayers!$B$6:$B$305,$B75,InputPlayers!$C$6:$C$305,$C75,InputPlayers!$D$6:$D$305,$D75,InputPlayers!$O$6:$O$305,"Да"))</x:f>
      </x:c>
      <x:c r="G75" s="44">
        <x:f>IF($A75="","",SUMIFS(InputPlayers!$N$6:$N$305,InputPlayers!$A$6:$A$305,$A75,InputPlayers!$B$6:$B$305,$B75,InputPlayers!$C$6:$C$305,$C75,InputPlayers!$D$6:$D$305,$D75,InputPlayers!$O$6:$O$305,"Да"))</x:f>
      </x:c>
      <x:c r="H75" s="44">
        <x:f>IF(InputPlayers!A76="","",TEXT(InputPlayers!A76,"dd.mm.yyyy")&amp;"|"&amp;InputPlayers!B76&amp;"|"&amp;InputPlayers!C76&amp;"|"&amp;InputPlayers!D76)</x:f>
      </x:c>
    </x:row>
    <x:row r="76">
      <x:c r="A76" s="42">
        <x:f>IF(H76="","",IF(COUNTIF($H$5:H76,H76)&gt;1,"",InputPlayers!A77))</x:f>
      </x:c>
      <x:c r="B76" s="43">
        <x:f>IF($A76="","",InputPlayers!B77)</x:f>
      </x:c>
      <x:c r="C76" s="43">
        <x:f>IF($A76="","",InputPlayers!C77)</x:f>
      </x:c>
      <x:c r="D76" s="44">
        <x:f>IF($A76="","",InputPlayers!D77)</x:f>
      </x:c>
      <x:c r="E76" s="44">
        <x:f>IF($A76="","",InputPlayers!E77)</x:f>
      </x:c>
      <x:c r="F76" s="44">
        <x:f>IF($A76="","",COUNTIFS(InputPlayers!$A$6:$A$305,$A76,InputPlayers!$B$6:$B$305,$B76,InputPlayers!$C$6:$C$305,$C76,InputPlayers!$D$6:$D$305,$D76,InputPlayers!$O$6:$O$305,"Да"))</x:f>
      </x:c>
      <x:c r="G76" s="44">
        <x:f>IF($A76="","",SUMIFS(InputPlayers!$N$6:$N$305,InputPlayers!$A$6:$A$305,$A76,InputPlayers!$B$6:$B$305,$B76,InputPlayers!$C$6:$C$305,$C76,InputPlayers!$D$6:$D$305,$D76,InputPlayers!$O$6:$O$305,"Да"))</x:f>
      </x:c>
      <x:c r="H76" s="44">
        <x:f>IF(InputPlayers!A77="","",TEXT(InputPlayers!A77,"dd.mm.yyyy")&amp;"|"&amp;InputPlayers!B77&amp;"|"&amp;InputPlayers!C77&amp;"|"&amp;InputPlayers!D77)</x:f>
      </x:c>
    </x:row>
    <x:row r="77">
      <x:c r="A77" s="42">
        <x:f>IF(H77="","",IF(COUNTIF($H$5:H77,H77)&gt;1,"",InputPlayers!A78))</x:f>
      </x:c>
      <x:c r="B77" s="43">
        <x:f>IF($A77="","",InputPlayers!B78)</x:f>
      </x:c>
      <x:c r="C77" s="43">
        <x:f>IF($A77="","",InputPlayers!C78)</x:f>
      </x:c>
      <x:c r="D77" s="44">
        <x:f>IF($A77="","",InputPlayers!D78)</x:f>
      </x:c>
      <x:c r="E77" s="44">
        <x:f>IF($A77="","",InputPlayers!E78)</x:f>
      </x:c>
      <x:c r="F77" s="44">
        <x:f>IF($A77="","",COUNTIFS(InputPlayers!$A$6:$A$305,$A77,InputPlayers!$B$6:$B$305,$B77,InputPlayers!$C$6:$C$305,$C77,InputPlayers!$D$6:$D$305,$D77,InputPlayers!$O$6:$O$305,"Да"))</x:f>
      </x:c>
      <x:c r="G77" s="44">
        <x:f>IF($A77="","",SUMIFS(InputPlayers!$N$6:$N$305,InputPlayers!$A$6:$A$305,$A77,InputPlayers!$B$6:$B$305,$B77,InputPlayers!$C$6:$C$305,$C77,InputPlayers!$D$6:$D$305,$D77,InputPlayers!$O$6:$O$305,"Да"))</x:f>
      </x:c>
      <x:c r="H77" s="44">
        <x:f>IF(InputPlayers!A78="","",TEXT(InputPlayers!A78,"dd.mm.yyyy")&amp;"|"&amp;InputPlayers!B78&amp;"|"&amp;InputPlayers!C78&amp;"|"&amp;InputPlayers!D78)</x:f>
      </x:c>
    </x:row>
    <x:row r="78">
      <x:c r="A78" s="42">
        <x:f>IF(H78="","",IF(COUNTIF($H$5:H78,H78)&gt;1,"",InputPlayers!A79))</x:f>
      </x:c>
      <x:c r="B78" s="43">
        <x:f>IF($A78="","",InputPlayers!B79)</x:f>
      </x:c>
      <x:c r="C78" s="43">
        <x:f>IF($A78="","",InputPlayers!C79)</x:f>
      </x:c>
      <x:c r="D78" s="44">
        <x:f>IF($A78="","",InputPlayers!D79)</x:f>
      </x:c>
      <x:c r="E78" s="44">
        <x:f>IF($A78="","",InputPlayers!E79)</x:f>
      </x:c>
      <x:c r="F78" s="44">
        <x:f>IF($A78="","",COUNTIFS(InputPlayers!$A$6:$A$305,$A78,InputPlayers!$B$6:$B$305,$B78,InputPlayers!$C$6:$C$305,$C78,InputPlayers!$D$6:$D$305,$D78,InputPlayers!$O$6:$O$305,"Да"))</x:f>
      </x:c>
      <x:c r="G78" s="44">
        <x:f>IF($A78="","",SUMIFS(InputPlayers!$N$6:$N$305,InputPlayers!$A$6:$A$305,$A78,InputPlayers!$B$6:$B$305,$B78,InputPlayers!$C$6:$C$305,$C78,InputPlayers!$D$6:$D$305,$D78,InputPlayers!$O$6:$O$305,"Да"))</x:f>
      </x:c>
      <x:c r="H78" s="44">
        <x:f>IF(InputPlayers!A79="","",TEXT(InputPlayers!A79,"dd.mm.yyyy")&amp;"|"&amp;InputPlayers!B79&amp;"|"&amp;InputPlayers!C79&amp;"|"&amp;InputPlayers!D79)</x:f>
      </x:c>
    </x:row>
    <x:row r="79">
      <x:c r="A79" s="42">
        <x:f>IF(H79="","",IF(COUNTIF($H$5:H79,H79)&gt;1,"",InputPlayers!A80))</x:f>
      </x:c>
      <x:c r="B79" s="43">
        <x:f>IF($A79="","",InputPlayers!B80)</x:f>
      </x:c>
      <x:c r="C79" s="43">
        <x:f>IF($A79="","",InputPlayers!C80)</x:f>
      </x:c>
      <x:c r="D79" s="44">
        <x:f>IF($A79="","",InputPlayers!D80)</x:f>
      </x:c>
      <x:c r="E79" s="44">
        <x:f>IF($A79="","",InputPlayers!E80)</x:f>
      </x:c>
      <x:c r="F79" s="44">
        <x:f>IF($A79="","",COUNTIFS(InputPlayers!$A$6:$A$305,$A79,InputPlayers!$B$6:$B$305,$B79,InputPlayers!$C$6:$C$305,$C79,InputPlayers!$D$6:$D$305,$D79,InputPlayers!$O$6:$O$305,"Да"))</x:f>
      </x:c>
      <x:c r="G79" s="44">
        <x:f>IF($A79="","",SUMIFS(InputPlayers!$N$6:$N$305,InputPlayers!$A$6:$A$305,$A79,InputPlayers!$B$6:$B$305,$B79,InputPlayers!$C$6:$C$305,$C79,InputPlayers!$D$6:$D$305,$D79,InputPlayers!$O$6:$O$305,"Да"))</x:f>
      </x:c>
      <x:c r="H79" s="44">
        <x:f>IF(InputPlayers!A80="","",TEXT(InputPlayers!A80,"dd.mm.yyyy")&amp;"|"&amp;InputPlayers!B80&amp;"|"&amp;InputPlayers!C80&amp;"|"&amp;InputPlayers!D80)</x:f>
      </x:c>
    </x:row>
    <x:row r="80">
      <x:c r="A80" s="42">
        <x:f>IF(H80="","",IF(COUNTIF($H$5:H80,H80)&gt;1,"",InputPlayers!A81))</x:f>
      </x:c>
      <x:c r="B80" s="43">
        <x:f>IF($A80="","",InputPlayers!B81)</x:f>
      </x:c>
      <x:c r="C80" s="43">
        <x:f>IF($A80="","",InputPlayers!C81)</x:f>
      </x:c>
      <x:c r="D80" s="44">
        <x:f>IF($A80="","",InputPlayers!D81)</x:f>
      </x:c>
      <x:c r="E80" s="44">
        <x:f>IF($A80="","",InputPlayers!E81)</x:f>
      </x:c>
      <x:c r="F80" s="44">
        <x:f>IF($A80="","",COUNTIFS(InputPlayers!$A$6:$A$305,$A80,InputPlayers!$B$6:$B$305,$B80,InputPlayers!$C$6:$C$305,$C80,InputPlayers!$D$6:$D$305,$D80,InputPlayers!$O$6:$O$305,"Да"))</x:f>
      </x:c>
      <x:c r="G80" s="44">
        <x:f>IF($A80="","",SUMIFS(InputPlayers!$N$6:$N$305,InputPlayers!$A$6:$A$305,$A80,InputPlayers!$B$6:$B$305,$B80,InputPlayers!$C$6:$C$305,$C80,InputPlayers!$D$6:$D$305,$D80,InputPlayers!$O$6:$O$305,"Да"))</x:f>
      </x:c>
      <x:c r="H80" s="44">
        <x:f>IF(InputPlayers!A81="","",TEXT(InputPlayers!A81,"dd.mm.yyyy")&amp;"|"&amp;InputPlayers!B81&amp;"|"&amp;InputPlayers!C81&amp;"|"&amp;InputPlayers!D81)</x:f>
      </x:c>
    </x:row>
    <x:row r="81">
      <x:c r="A81" s="42">
        <x:f>IF(H81="","",IF(COUNTIF($H$5:H81,H81)&gt;1,"",InputPlayers!A82))</x:f>
      </x:c>
      <x:c r="B81" s="43">
        <x:f>IF($A81="","",InputPlayers!B82)</x:f>
      </x:c>
      <x:c r="C81" s="43">
        <x:f>IF($A81="","",InputPlayers!C82)</x:f>
      </x:c>
      <x:c r="D81" s="44">
        <x:f>IF($A81="","",InputPlayers!D82)</x:f>
      </x:c>
      <x:c r="E81" s="44">
        <x:f>IF($A81="","",InputPlayers!E82)</x:f>
      </x:c>
      <x:c r="F81" s="44">
        <x:f>IF($A81="","",COUNTIFS(InputPlayers!$A$6:$A$305,$A81,InputPlayers!$B$6:$B$305,$B81,InputPlayers!$C$6:$C$305,$C81,InputPlayers!$D$6:$D$305,$D81,InputPlayers!$O$6:$O$305,"Да"))</x:f>
      </x:c>
      <x:c r="G81" s="44">
        <x:f>IF($A81="","",SUMIFS(InputPlayers!$N$6:$N$305,InputPlayers!$A$6:$A$305,$A81,InputPlayers!$B$6:$B$305,$B81,InputPlayers!$C$6:$C$305,$C81,InputPlayers!$D$6:$D$305,$D81,InputPlayers!$O$6:$O$305,"Да"))</x:f>
      </x:c>
      <x:c r="H81" s="44">
        <x:f>IF(InputPlayers!A82="","",TEXT(InputPlayers!A82,"dd.mm.yyyy")&amp;"|"&amp;InputPlayers!B82&amp;"|"&amp;InputPlayers!C82&amp;"|"&amp;InputPlayers!D82)</x:f>
      </x:c>
    </x:row>
    <x:row r="82">
      <x:c r="A82" s="42">
        <x:f>IF(H82="","",IF(COUNTIF($H$5:H82,H82)&gt;1,"",InputPlayers!A83))</x:f>
      </x:c>
      <x:c r="B82" s="43">
        <x:f>IF($A82="","",InputPlayers!B83)</x:f>
      </x:c>
      <x:c r="C82" s="43">
        <x:f>IF($A82="","",InputPlayers!C83)</x:f>
      </x:c>
      <x:c r="D82" s="44">
        <x:f>IF($A82="","",InputPlayers!D83)</x:f>
      </x:c>
      <x:c r="E82" s="44">
        <x:f>IF($A82="","",InputPlayers!E83)</x:f>
      </x:c>
      <x:c r="F82" s="44">
        <x:f>IF($A82="","",COUNTIFS(InputPlayers!$A$6:$A$305,$A82,InputPlayers!$B$6:$B$305,$B82,InputPlayers!$C$6:$C$305,$C82,InputPlayers!$D$6:$D$305,$D82,InputPlayers!$O$6:$O$305,"Да"))</x:f>
      </x:c>
      <x:c r="G82" s="44">
        <x:f>IF($A82="","",SUMIFS(InputPlayers!$N$6:$N$305,InputPlayers!$A$6:$A$305,$A82,InputPlayers!$B$6:$B$305,$B82,InputPlayers!$C$6:$C$305,$C82,InputPlayers!$D$6:$D$305,$D82,InputPlayers!$O$6:$O$305,"Да"))</x:f>
      </x:c>
      <x:c r="H82" s="44">
        <x:f>IF(InputPlayers!A83="","",TEXT(InputPlayers!A83,"dd.mm.yyyy")&amp;"|"&amp;InputPlayers!B83&amp;"|"&amp;InputPlayers!C83&amp;"|"&amp;InputPlayers!D83)</x:f>
      </x:c>
    </x:row>
    <x:row r="83">
      <x:c r="A83" s="42">
        <x:f>IF(H83="","",IF(COUNTIF($H$5:H83,H83)&gt;1,"",InputPlayers!A84))</x:f>
      </x:c>
      <x:c r="B83" s="43">
        <x:f>IF($A83="","",InputPlayers!B84)</x:f>
      </x:c>
      <x:c r="C83" s="43">
        <x:f>IF($A83="","",InputPlayers!C84)</x:f>
      </x:c>
      <x:c r="D83" s="44">
        <x:f>IF($A83="","",InputPlayers!D84)</x:f>
      </x:c>
      <x:c r="E83" s="44">
        <x:f>IF($A83="","",InputPlayers!E84)</x:f>
      </x:c>
      <x:c r="F83" s="44">
        <x:f>IF($A83="","",COUNTIFS(InputPlayers!$A$6:$A$305,$A83,InputPlayers!$B$6:$B$305,$B83,InputPlayers!$C$6:$C$305,$C83,InputPlayers!$D$6:$D$305,$D83,InputPlayers!$O$6:$O$305,"Да"))</x:f>
      </x:c>
      <x:c r="G83" s="44">
        <x:f>IF($A83="","",SUMIFS(InputPlayers!$N$6:$N$305,InputPlayers!$A$6:$A$305,$A83,InputPlayers!$B$6:$B$305,$B83,InputPlayers!$C$6:$C$305,$C83,InputPlayers!$D$6:$D$305,$D83,InputPlayers!$O$6:$O$305,"Да"))</x:f>
      </x:c>
      <x:c r="H83" s="44">
        <x:f>IF(InputPlayers!A84="","",TEXT(InputPlayers!A84,"dd.mm.yyyy")&amp;"|"&amp;InputPlayers!B84&amp;"|"&amp;InputPlayers!C84&amp;"|"&amp;InputPlayers!D84)</x:f>
      </x:c>
    </x:row>
    <x:row r="84">
      <x:c r="A84" s="42">
        <x:f>IF(H84="","",IF(COUNTIF($H$5:H84,H84)&gt;1,"",InputPlayers!A85))</x:f>
      </x:c>
      <x:c r="B84" s="43">
        <x:f>IF($A84="","",InputPlayers!B85)</x:f>
      </x:c>
      <x:c r="C84" s="43">
        <x:f>IF($A84="","",InputPlayers!C85)</x:f>
      </x:c>
      <x:c r="D84" s="44">
        <x:f>IF($A84="","",InputPlayers!D85)</x:f>
      </x:c>
      <x:c r="E84" s="44">
        <x:f>IF($A84="","",InputPlayers!E85)</x:f>
      </x:c>
      <x:c r="F84" s="44">
        <x:f>IF($A84="","",COUNTIFS(InputPlayers!$A$6:$A$305,$A84,InputPlayers!$B$6:$B$305,$B84,InputPlayers!$C$6:$C$305,$C84,InputPlayers!$D$6:$D$305,$D84,InputPlayers!$O$6:$O$305,"Да"))</x:f>
      </x:c>
      <x:c r="G84" s="44">
        <x:f>IF($A84="","",SUMIFS(InputPlayers!$N$6:$N$305,InputPlayers!$A$6:$A$305,$A84,InputPlayers!$B$6:$B$305,$B84,InputPlayers!$C$6:$C$305,$C84,InputPlayers!$D$6:$D$305,$D84,InputPlayers!$O$6:$O$305,"Да"))</x:f>
      </x:c>
      <x:c r="H84" s="44">
        <x:f>IF(InputPlayers!A85="","",TEXT(InputPlayers!A85,"dd.mm.yyyy")&amp;"|"&amp;InputPlayers!B85&amp;"|"&amp;InputPlayers!C85&amp;"|"&amp;InputPlayers!D85)</x:f>
      </x:c>
    </x:row>
    <x:row r="85">
      <x:c r="A85" s="42">
        <x:f>IF(H85="","",IF(COUNTIF($H$5:H85,H85)&gt;1,"",InputPlayers!A86))</x:f>
      </x:c>
      <x:c r="B85" s="43">
        <x:f>IF($A85="","",InputPlayers!B86)</x:f>
      </x:c>
      <x:c r="C85" s="43">
        <x:f>IF($A85="","",InputPlayers!C86)</x:f>
      </x:c>
      <x:c r="D85" s="44">
        <x:f>IF($A85="","",InputPlayers!D86)</x:f>
      </x:c>
      <x:c r="E85" s="44">
        <x:f>IF($A85="","",InputPlayers!E86)</x:f>
      </x:c>
      <x:c r="F85" s="44">
        <x:f>IF($A85="","",COUNTIFS(InputPlayers!$A$6:$A$305,$A85,InputPlayers!$B$6:$B$305,$B85,InputPlayers!$C$6:$C$305,$C85,InputPlayers!$D$6:$D$305,$D85,InputPlayers!$O$6:$O$305,"Да"))</x:f>
      </x:c>
      <x:c r="G85" s="44">
        <x:f>IF($A85="","",SUMIFS(InputPlayers!$N$6:$N$305,InputPlayers!$A$6:$A$305,$A85,InputPlayers!$B$6:$B$305,$B85,InputPlayers!$C$6:$C$305,$C85,InputPlayers!$D$6:$D$305,$D85,InputPlayers!$O$6:$O$305,"Да"))</x:f>
      </x:c>
      <x:c r="H85" s="44">
        <x:f>IF(InputPlayers!A86="","",TEXT(InputPlayers!A86,"dd.mm.yyyy")&amp;"|"&amp;InputPlayers!B86&amp;"|"&amp;InputPlayers!C86&amp;"|"&amp;InputPlayers!D86)</x:f>
      </x:c>
    </x:row>
    <x:row r="86">
      <x:c r="A86" s="42">
        <x:f>IF(H86="","",IF(COUNTIF($H$5:H86,H86)&gt;1,"",InputPlayers!A87))</x:f>
      </x:c>
      <x:c r="B86" s="43">
        <x:f>IF($A86="","",InputPlayers!B87)</x:f>
      </x:c>
      <x:c r="C86" s="43">
        <x:f>IF($A86="","",InputPlayers!C87)</x:f>
      </x:c>
      <x:c r="D86" s="44">
        <x:f>IF($A86="","",InputPlayers!D87)</x:f>
      </x:c>
      <x:c r="E86" s="44">
        <x:f>IF($A86="","",InputPlayers!E87)</x:f>
      </x:c>
      <x:c r="F86" s="44">
        <x:f>IF($A86="","",COUNTIFS(InputPlayers!$A$6:$A$305,$A86,InputPlayers!$B$6:$B$305,$B86,InputPlayers!$C$6:$C$305,$C86,InputPlayers!$D$6:$D$305,$D86,InputPlayers!$O$6:$O$305,"Да"))</x:f>
      </x:c>
      <x:c r="G86" s="44">
        <x:f>IF($A86="","",SUMIFS(InputPlayers!$N$6:$N$305,InputPlayers!$A$6:$A$305,$A86,InputPlayers!$B$6:$B$305,$B86,InputPlayers!$C$6:$C$305,$C86,InputPlayers!$D$6:$D$305,$D86,InputPlayers!$O$6:$O$305,"Да"))</x:f>
      </x:c>
      <x:c r="H86" s="44">
        <x:f>IF(InputPlayers!A87="","",TEXT(InputPlayers!A87,"dd.mm.yyyy")&amp;"|"&amp;InputPlayers!B87&amp;"|"&amp;InputPlayers!C87&amp;"|"&amp;InputPlayers!D87)</x:f>
      </x:c>
    </x:row>
    <x:row r="87">
      <x:c r="A87" s="42">
        <x:f>IF(H87="","",IF(COUNTIF($H$5:H87,H87)&gt;1,"",InputPlayers!A88))</x:f>
      </x:c>
      <x:c r="B87" s="43">
        <x:f>IF($A87="","",InputPlayers!B88)</x:f>
      </x:c>
      <x:c r="C87" s="43">
        <x:f>IF($A87="","",InputPlayers!C88)</x:f>
      </x:c>
      <x:c r="D87" s="44">
        <x:f>IF($A87="","",InputPlayers!D88)</x:f>
      </x:c>
      <x:c r="E87" s="44">
        <x:f>IF($A87="","",InputPlayers!E88)</x:f>
      </x:c>
      <x:c r="F87" s="44">
        <x:f>IF($A87="","",COUNTIFS(InputPlayers!$A$6:$A$305,$A87,InputPlayers!$B$6:$B$305,$B87,InputPlayers!$C$6:$C$305,$C87,InputPlayers!$D$6:$D$305,$D87,InputPlayers!$O$6:$O$305,"Да"))</x:f>
      </x:c>
      <x:c r="G87" s="44">
        <x:f>IF($A87="","",SUMIFS(InputPlayers!$N$6:$N$305,InputPlayers!$A$6:$A$305,$A87,InputPlayers!$B$6:$B$305,$B87,InputPlayers!$C$6:$C$305,$C87,InputPlayers!$D$6:$D$305,$D87,InputPlayers!$O$6:$O$305,"Да"))</x:f>
      </x:c>
      <x:c r="H87" s="44">
        <x:f>IF(InputPlayers!A88="","",TEXT(InputPlayers!A88,"dd.mm.yyyy")&amp;"|"&amp;InputPlayers!B88&amp;"|"&amp;InputPlayers!C88&amp;"|"&amp;InputPlayers!D88)</x:f>
      </x:c>
    </x:row>
    <x:row r="88">
      <x:c r="A88" s="42">
        <x:f>IF(H88="","",IF(COUNTIF($H$5:H88,H88)&gt;1,"",InputPlayers!A89))</x:f>
      </x:c>
      <x:c r="B88" s="43">
        <x:f>IF($A88="","",InputPlayers!B89)</x:f>
      </x:c>
      <x:c r="C88" s="43">
        <x:f>IF($A88="","",InputPlayers!C89)</x:f>
      </x:c>
      <x:c r="D88" s="44">
        <x:f>IF($A88="","",InputPlayers!D89)</x:f>
      </x:c>
      <x:c r="E88" s="44">
        <x:f>IF($A88="","",InputPlayers!E89)</x:f>
      </x:c>
      <x:c r="F88" s="44">
        <x:f>IF($A88="","",COUNTIFS(InputPlayers!$A$6:$A$305,$A88,InputPlayers!$B$6:$B$305,$B88,InputPlayers!$C$6:$C$305,$C88,InputPlayers!$D$6:$D$305,$D88,InputPlayers!$O$6:$O$305,"Да"))</x:f>
      </x:c>
      <x:c r="G88" s="44">
        <x:f>IF($A88="","",SUMIFS(InputPlayers!$N$6:$N$305,InputPlayers!$A$6:$A$305,$A88,InputPlayers!$B$6:$B$305,$B88,InputPlayers!$C$6:$C$305,$C88,InputPlayers!$D$6:$D$305,$D88,InputPlayers!$O$6:$O$305,"Да"))</x:f>
      </x:c>
      <x:c r="H88" s="44">
        <x:f>IF(InputPlayers!A89="","",TEXT(InputPlayers!A89,"dd.mm.yyyy")&amp;"|"&amp;InputPlayers!B89&amp;"|"&amp;InputPlayers!C89&amp;"|"&amp;InputPlayers!D89)</x:f>
      </x:c>
    </x:row>
    <x:row r="89">
      <x:c r="A89" s="42">
        <x:f>IF(H89="","",IF(COUNTIF($H$5:H89,H89)&gt;1,"",InputPlayers!A90))</x:f>
      </x:c>
      <x:c r="B89" s="43">
        <x:f>IF($A89="","",InputPlayers!B90)</x:f>
      </x:c>
      <x:c r="C89" s="43">
        <x:f>IF($A89="","",InputPlayers!C90)</x:f>
      </x:c>
      <x:c r="D89" s="44">
        <x:f>IF($A89="","",InputPlayers!D90)</x:f>
      </x:c>
      <x:c r="E89" s="44">
        <x:f>IF($A89="","",InputPlayers!E90)</x:f>
      </x:c>
      <x:c r="F89" s="44">
        <x:f>IF($A89="","",COUNTIFS(InputPlayers!$A$6:$A$305,$A89,InputPlayers!$B$6:$B$305,$B89,InputPlayers!$C$6:$C$305,$C89,InputPlayers!$D$6:$D$305,$D89,InputPlayers!$O$6:$O$305,"Да"))</x:f>
      </x:c>
      <x:c r="G89" s="44">
        <x:f>IF($A89="","",SUMIFS(InputPlayers!$N$6:$N$305,InputPlayers!$A$6:$A$305,$A89,InputPlayers!$B$6:$B$305,$B89,InputPlayers!$C$6:$C$305,$C89,InputPlayers!$D$6:$D$305,$D89,InputPlayers!$O$6:$O$305,"Да"))</x:f>
      </x:c>
      <x:c r="H89" s="44">
        <x:f>IF(InputPlayers!A90="","",TEXT(InputPlayers!A90,"dd.mm.yyyy")&amp;"|"&amp;InputPlayers!B90&amp;"|"&amp;InputPlayers!C90&amp;"|"&amp;InputPlayers!D90)</x:f>
      </x:c>
    </x:row>
    <x:row r="90">
      <x:c r="A90" s="42">
        <x:f>IF(H90="","",IF(COUNTIF($H$5:H90,H90)&gt;1,"",InputPlayers!A91))</x:f>
      </x:c>
      <x:c r="B90" s="43">
        <x:f>IF($A90="","",InputPlayers!B91)</x:f>
      </x:c>
      <x:c r="C90" s="43">
        <x:f>IF($A90="","",InputPlayers!C91)</x:f>
      </x:c>
      <x:c r="D90" s="44">
        <x:f>IF($A90="","",InputPlayers!D91)</x:f>
      </x:c>
      <x:c r="E90" s="44">
        <x:f>IF($A90="","",InputPlayers!E91)</x:f>
      </x:c>
      <x:c r="F90" s="44">
        <x:f>IF($A90="","",COUNTIFS(InputPlayers!$A$6:$A$305,$A90,InputPlayers!$B$6:$B$305,$B90,InputPlayers!$C$6:$C$305,$C90,InputPlayers!$D$6:$D$305,$D90,InputPlayers!$O$6:$O$305,"Да"))</x:f>
      </x:c>
      <x:c r="G90" s="44">
        <x:f>IF($A90="","",SUMIFS(InputPlayers!$N$6:$N$305,InputPlayers!$A$6:$A$305,$A90,InputPlayers!$B$6:$B$305,$B90,InputPlayers!$C$6:$C$305,$C90,InputPlayers!$D$6:$D$305,$D90,InputPlayers!$O$6:$O$305,"Да"))</x:f>
      </x:c>
      <x:c r="H90" s="44">
        <x:f>IF(InputPlayers!A91="","",TEXT(InputPlayers!A91,"dd.mm.yyyy")&amp;"|"&amp;InputPlayers!B91&amp;"|"&amp;InputPlayers!C91&amp;"|"&amp;InputPlayers!D91)</x:f>
      </x:c>
    </x:row>
    <x:row r="91">
      <x:c r="A91" s="42">
        <x:f>IF(H91="","",IF(COUNTIF($H$5:H91,H91)&gt;1,"",InputPlayers!A92))</x:f>
      </x:c>
      <x:c r="B91" s="43">
        <x:f>IF($A91="","",InputPlayers!B92)</x:f>
      </x:c>
      <x:c r="C91" s="43">
        <x:f>IF($A91="","",InputPlayers!C92)</x:f>
      </x:c>
      <x:c r="D91" s="44">
        <x:f>IF($A91="","",InputPlayers!D92)</x:f>
      </x:c>
      <x:c r="E91" s="44">
        <x:f>IF($A91="","",InputPlayers!E92)</x:f>
      </x:c>
      <x:c r="F91" s="44">
        <x:f>IF($A91="","",COUNTIFS(InputPlayers!$A$6:$A$305,$A91,InputPlayers!$B$6:$B$305,$B91,InputPlayers!$C$6:$C$305,$C91,InputPlayers!$D$6:$D$305,$D91,InputPlayers!$O$6:$O$305,"Да"))</x:f>
      </x:c>
      <x:c r="G91" s="44">
        <x:f>IF($A91="","",SUMIFS(InputPlayers!$N$6:$N$305,InputPlayers!$A$6:$A$305,$A91,InputPlayers!$B$6:$B$305,$B91,InputPlayers!$C$6:$C$305,$C91,InputPlayers!$D$6:$D$305,$D91,InputPlayers!$O$6:$O$305,"Да"))</x:f>
      </x:c>
      <x:c r="H91" s="44">
        <x:f>IF(InputPlayers!A92="","",TEXT(InputPlayers!A92,"dd.mm.yyyy")&amp;"|"&amp;InputPlayers!B92&amp;"|"&amp;InputPlayers!C92&amp;"|"&amp;InputPlayers!D92)</x:f>
      </x:c>
    </x:row>
    <x:row r="92">
      <x:c r="A92" s="42">
        <x:f>IF(H92="","",IF(COUNTIF($H$5:H92,H92)&gt;1,"",InputPlayers!A93))</x:f>
      </x:c>
      <x:c r="B92" s="43">
        <x:f>IF($A92="","",InputPlayers!B93)</x:f>
      </x:c>
      <x:c r="C92" s="43">
        <x:f>IF($A92="","",InputPlayers!C93)</x:f>
      </x:c>
      <x:c r="D92" s="44">
        <x:f>IF($A92="","",InputPlayers!D93)</x:f>
      </x:c>
      <x:c r="E92" s="44">
        <x:f>IF($A92="","",InputPlayers!E93)</x:f>
      </x:c>
      <x:c r="F92" s="44">
        <x:f>IF($A92="","",COUNTIFS(InputPlayers!$A$6:$A$305,$A92,InputPlayers!$B$6:$B$305,$B92,InputPlayers!$C$6:$C$305,$C92,InputPlayers!$D$6:$D$305,$D92,InputPlayers!$O$6:$O$305,"Да"))</x:f>
      </x:c>
      <x:c r="G92" s="44">
        <x:f>IF($A92="","",SUMIFS(InputPlayers!$N$6:$N$305,InputPlayers!$A$6:$A$305,$A92,InputPlayers!$B$6:$B$305,$B92,InputPlayers!$C$6:$C$305,$C92,InputPlayers!$D$6:$D$305,$D92,InputPlayers!$O$6:$O$305,"Да"))</x:f>
      </x:c>
      <x:c r="H92" s="44">
        <x:f>IF(InputPlayers!A93="","",TEXT(InputPlayers!A93,"dd.mm.yyyy")&amp;"|"&amp;InputPlayers!B93&amp;"|"&amp;InputPlayers!C93&amp;"|"&amp;InputPlayers!D93)</x:f>
      </x:c>
    </x:row>
    <x:row r="93">
      <x:c r="A93" s="42">
        <x:f>IF(H93="","",IF(COUNTIF($H$5:H93,H93)&gt;1,"",InputPlayers!A94))</x:f>
      </x:c>
      <x:c r="B93" s="43">
        <x:f>IF($A93="","",InputPlayers!B94)</x:f>
      </x:c>
      <x:c r="C93" s="43">
        <x:f>IF($A93="","",InputPlayers!C94)</x:f>
      </x:c>
      <x:c r="D93" s="44">
        <x:f>IF($A93="","",InputPlayers!D94)</x:f>
      </x:c>
      <x:c r="E93" s="44">
        <x:f>IF($A93="","",InputPlayers!E94)</x:f>
      </x:c>
      <x:c r="F93" s="44">
        <x:f>IF($A93="","",COUNTIFS(InputPlayers!$A$6:$A$305,$A93,InputPlayers!$B$6:$B$305,$B93,InputPlayers!$C$6:$C$305,$C93,InputPlayers!$D$6:$D$305,$D93,InputPlayers!$O$6:$O$305,"Да"))</x:f>
      </x:c>
      <x:c r="G93" s="44">
        <x:f>IF($A93="","",SUMIFS(InputPlayers!$N$6:$N$305,InputPlayers!$A$6:$A$305,$A93,InputPlayers!$B$6:$B$305,$B93,InputPlayers!$C$6:$C$305,$C93,InputPlayers!$D$6:$D$305,$D93,InputPlayers!$O$6:$O$305,"Да"))</x:f>
      </x:c>
      <x:c r="H93" s="44">
        <x:f>IF(InputPlayers!A94="","",TEXT(InputPlayers!A94,"dd.mm.yyyy")&amp;"|"&amp;InputPlayers!B94&amp;"|"&amp;InputPlayers!C94&amp;"|"&amp;InputPlayers!D94)</x:f>
      </x:c>
    </x:row>
    <x:row r="94">
      <x:c r="A94" s="42">
        <x:f>IF(H94="","",IF(COUNTIF($H$5:H94,H94)&gt;1,"",InputPlayers!A95))</x:f>
      </x:c>
      <x:c r="B94" s="43">
        <x:f>IF($A94="","",InputPlayers!B95)</x:f>
      </x:c>
      <x:c r="C94" s="43">
        <x:f>IF($A94="","",InputPlayers!C95)</x:f>
      </x:c>
      <x:c r="D94" s="44">
        <x:f>IF($A94="","",InputPlayers!D95)</x:f>
      </x:c>
      <x:c r="E94" s="44">
        <x:f>IF($A94="","",InputPlayers!E95)</x:f>
      </x:c>
      <x:c r="F94" s="44">
        <x:f>IF($A94="","",COUNTIFS(InputPlayers!$A$6:$A$305,$A94,InputPlayers!$B$6:$B$305,$B94,InputPlayers!$C$6:$C$305,$C94,InputPlayers!$D$6:$D$305,$D94,InputPlayers!$O$6:$O$305,"Да"))</x:f>
      </x:c>
      <x:c r="G94" s="44">
        <x:f>IF($A94="","",SUMIFS(InputPlayers!$N$6:$N$305,InputPlayers!$A$6:$A$305,$A94,InputPlayers!$B$6:$B$305,$B94,InputPlayers!$C$6:$C$305,$C94,InputPlayers!$D$6:$D$305,$D94,InputPlayers!$O$6:$O$305,"Да"))</x:f>
      </x:c>
      <x:c r="H94" s="44">
        <x:f>IF(InputPlayers!A95="","",TEXT(InputPlayers!A95,"dd.mm.yyyy")&amp;"|"&amp;InputPlayers!B95&amp;"|"&amp;InputPlayers!C95&amp;"|"&amp;InputPlayers!D95)</x:f>
      </x:c>
    </x:row>
    <x:row r="95">
      <x:c r="A95" s="42">
        <x:f>IF(H95="","",IF(COUNTIF($H$5:H95,H95)&gt;1,"",InputPlayers!A96))</x:f>
      </x:c>
      <x:c r="B95" s="43">
        <x:f>IF($A95="","",InputPlayers!B96)</x:f>
      </x:c>
      <x:c r="C95" s="43">
        <x:f>IF($A95="","",InputPlayers!C96)</x:f>
      </x:c>
      <x:c r="D95" s="44">
        <x:f>IF($A95="","",InputPlayers!D96)</x:f>
      </x:c>
      <x:c r="E95" s="44">
        <x:f>IF($A95="","",InputPlayers!E96)</x:f>
      </x:c>
      <x:c r="F95" s="44">
        <x:f>IF($A95="","",COUNTIFS(InputPlayers!$A$6:$A$305,$A95,InputPlayers!$B$6:$B$305,$B95,InputPlayers!$C$6:$C$305,$C95,InputPlayers!$D$6:$D$305,$D95,InputPlayers!$O$6:$O$305,"Да"))</x:f>
      </x:c>
      <x:c r="G95" s="44">
        <x:f>IF($A95="","",SUMIFS(InputPlayers!$N$6:$N$305,InputPlayers!$A$6:$A$305,$A95,InputPlayers!$B$6:$B$305,$B95,InputPlayers!$C$6:$C$305,$C95,InputPlayers!$D$6:$D$305,$D95,InputPlayers!$O$6:$O$305,"Да"))</x:f>
      </x:c>
      <x:c r="H95" s="44">
        <x:f>IF(InputPlayers!A96="","",TEXT(InputPlayers!A96,"dd.mm.yyyy")&amp;"|"&amp;InputPlayers!B96&amp;"|"&amp;InputPlayers!C96&amp;"|"&amp;InputPlayers!D96)</x:f>
      </x:c>
    </x:row>
    <x:row r="96">
      <x:c r="A96" s="42">
        <x:f>IF(H96="","",IF(COUNTIF($H$5:H96,H96)&gt;1,"",InputPlayers!A97))</x:f>
      </x:c>
      <x:c r="B96" s="43">
        <x:f>IF($A96="","",InputPlayers!B97)</x:f>
      </x:c>
      <x:c r="C96" s="43">
        <x:f>IF($A96="","",InputPlayers!C97)</x:f>
      </x:c>
      <x:c r="D96" s="44">
        <x:f>IF($A96="","",InputPlayers!D97)</x:f>
      </x:c>
      <x:c r="E96" s="44">
        <x:f>IF($A96="","",InputPlayers!E97)</x:f>
      </x:c>
      <x:c r="F96" s="44">
        <x:f>IF($A96="","",COUNTIFS(InputPlayers!$A$6:$A$305,$A96,InputPlayers!$B$6:$B$305,$B96,InputPlayers!$C$6:$C$305,$C96,InputPlayers!$D$6:$D$305,$D96,InputPlayers!$O$6:$O$305,"Да"))</x:f>
      </x:c>
      <x:c r="G96" s="44">
        <x:f>IF($A96="","",SUMIFS(InputPlayers!$N$6:$N$305,InputPlayers!$A$6:$A$305,$A96,InputPlayers!$B$6:$B$305,$B96,InputPlayers!$C$6:$C$305,$C96,InputPlayers!$D$6:$D$305,$D96,InputPlayers!$O$6:$O$305,"Да"))</x:f>
      </x:c>
      <x:c r="H96" s="44">
        <x:f>IF(InputPlayers!A97="","",TEXT(InputPlayers!A97,"dd.mm.yyyy")&amp;"|"&amp;InputPlayers!B97&amp;"|"&amp;InputPlayers!C97&amp;"|"&amp;InputPlayers!D97)</x:f>
      </x:c>
    </x:row>
    <x:row r="97">
      <x:c r="A97" s="42">
        <x:f>IF(H97="","",IF(COUNTIF($H$5:H97,H97)&gt;1,"",InputPlayers!A98))</x:f>
      </x:c>
      <x:c r="B97" s="43">
        <x:f>IF($A97="","",InputPlayers!B98)</x:f>
      </x:c>
      <x:c r="C97" s="43">
        <x:f>IF($A97="","",InputPlayers!C98)</x:f>
      </x:c>
      <x:c r="D97" s="44">
        <x:f>IF($A97="","",InputPlayers!D98)</x:f>
      </x:c>
      <x:c r="E97" s="44">
        <x:f>IF($A97="","",InputPlayers!E98)</x:f>
      </x:c>
      <x:c r="F97" s="44">
        <x:f>IF($A97="","",COUNTIFS(InputPlayers!$A$6:$A$305,$A97,InputPlayers!$B$6:$B$305,$B97,InputPlayers!$C$6:$C$305,$C97,InputPlayers!$D$6:$D$305,$D97,InputPlayers!$O$6:$O$305,"Да"))</x:f>
      </x:c>
      <x:c r="G97" s="44">
        <x:f>IF($A97="","",SUMIFS(InputPlayers!$N$6:$N$305,InputPlayers!$A$6:$A$305,$A97,InputPlayers!$B$6:$B$305,$B97,InputPlayers!$C$6:$C$305,$C97,InputPlayers!$D$6:$D$305,$D97,InputPlayers!$O$6:$O$305,"Да"))</x:f>
      </x:c>
      <x:c r="H97" s="44">
        <x:f>IF(InputPlayers!A98="","",TEXT(InputPlayers!A98,"dd.mm.yyyy")&amp;"|"&amp;InputPlayers!B98&amp;"|"&amp;InputPlayers!C98&amp;"|"&amp;InputPlayers!D98)</x:f>
      </x:c>
    </x:row>
    <x:row r="98">
      <x:c r="A98" s="42">
        <x:f>IF(H98="","",IF(COUNTIF($H$5:H98,H98)&gt;1,"",InputPlayers!A99))</x:f>
      </x:c>
      <x:c r="B98" s="43">
        <x:f>IF($A98="","",InputPlayers!B99)</x:f>
      </x:c>
      <x:c r="C98" s="43">
        <x:f>IF($A98="","",InputPlayers!C99)</x:f>
      </x:c>
      <x:c r="D98" s="44">
        <x:f>IF($A98="","",InputPlayers!D99)</x:f>
      </x:c>
      <x:c r="E98" s="44">
        <x:f>IF($A98="","",InputPlayers!E99)</x:f>
      </x:c>
      <x:c r="F98" s="44">
        <x:f>IF($A98="","",COUNTIFS(InputPlayers!$A$6:$A$305,$A98,InputPlayers!$B$6:$B$305,$B98,InputPlayers!$C$6:$C$305,$C98,InputPlayers!$D$6:$D$305,$D98,InputPlayers!$O$6:$O$305,"Да"))</x:f>
      </x:c>
      <x:c r="G98" s="44">
        <x:f>IF($A98="","",SUMIFS(InputPlayers!$N$6:$N$305,InputPlayers!$A$6:$A$305,$A98,InputPlayers!$B$6:$B$305,$B98,InputPlayers!$C$6:$C$305,$C98,InputPlayers!$D$6:$D$305,$D98,InputPlayers!$O$6:$O$305,"Да"))</x:f>
      </x:c>
      <x:c r="H98" s="44">
        <x:f>IF(InputPlayers!A99="","",TEXT(InputPlayers!A99,"dd.mm.yyyy")&amp;"|"&amp;InputPlayers!B99&amp;"|"&amp;InputPlayers!C99&amp;"|"&amp;InputPlayers!D99)</x:f>
      </x:c>
    </x:row>
    <x:row r="99">
      <x:c r="A99" s="42">
        <x:f>IF(H99="","",IF(COUNTIF($H$5:H99,H99)&gt;1,"",InputPlayers!A100))</x:f>
      </x:c>
      <x:c r="B99" s="43">
        <x:f>IF($A99="","",InputPlayers!B100)</x:f>
      </x:c>
      <x:c r="C99" s="43">
        <x:f>IF($A99="","",InputPlayers!C100)</x:f>
      </x:c>
      <x:c r="D99" s="44">
        <x:f>IF($A99="","",InputPlayers!D100)</x:f>
      </x:c>
      <x:c r="E99" s="44">
        <x:f>IF($A99="","",InputPlayers!E100)</x:f>
      </x:c>
      <x:c r="F99" s="44">
        <x:f>IF($A99="","",COUNTIFS(InputPlayers!$A$6:$A$305,$A99,InputPlayers!$B$6:$B$305,$B99,InputPlayers!$C$6:$C$305,$C99,InputPlayers!$D$6:$D$305,$D99,InputPlayers!$O$6:$O$305,"Да"))</x:f>
      </x:c>
      <x:c r="G99" s="44">
        <x:f>IF($A99="","",SUMIFS(InputPlayers!$N$6:$N$305,InputPlayers!$A$6:$A$305,$A99,InputPlayers!$B$6:$B$305,$B99,InputPlayers!$C$6:$C$305,$C99,InputPlayers!$D$6:$D$305,$D99,InputPlayers!$O$6:$O$305,"Да"))</x:f>
      </x:c>
      <x:c r="H99" s="44">
        <x:f>IF(InputPlayers!A100="","",TEXT(InputPlayers!A100,"dd.mm.yyyy")&amp;"|"&amp;InputPlayers!B100&amp;"|"&amp;InputPlayers!C100&amp;"|"&amp;InputPlayers!D100)</x:f>
      </x:c>
    </x:row>
    <x:row r="100">
      <x:c r="A100" s="42">
        <x:f>IF(H100="","",IF(COUNTIF($H$5:H100,H100)&gt;1,"",InputPlayers!A101))</x:f>
      </x:c>
      <x:c r="B100" s="43">
        <x:f>IF($A100="","",InputPlayers!B101)</x:f>
      </x:c>
      <x:c r="C100" s="43">
        <x:f>IF($A100="","",InputPlayers!C101)</x:f>
      </x:c>
      <x:c r="D100" s="44">
        <x:f>IF($A100="","",InputPlayers!D101)</x:f>
      </x:c>
      <x:c r="E100" s="44">
        <x:f>IF($A100="","",InputPlayers!E101)</x:f>
      </x:c>
      <x:c r="F100" s="44">
        <x:f>IF($A100="","",COUNTIFS(InputPlayers!$A$6:$A$305,$A100,InputPlayers!$B$6:$B$305,$B100,InputPlayers!$C$6:$C$305,$C100,InputPlayers!$D$6:$D$305,$D100,InputPlayers!$O$6:$O$305,"Да"))</x:f>
      </x:c>
      <x:c r="G100" s="44">
        <x:f>IF($A100="","",SUMIFS(InputPlayers!$N$6:$N$305,InputPlayers!$A$6:$A$305,$A100,InputPlayers!$B$6:$B$305,$B100,InputPlayers!$C$6:$C$305,$C100,InputPlayers!$D$6:$D$305,$D100,InputPlayers!$O$6:$O$305,"Да"))</x:f>
      </x:c>
      <x:c r="H100" s="44">
        <x:f>IF(InputPlayers!A101="","",TEXT(InputPlayers!A101,"dd.mm.yyyy")&amp;"|"&amp;InputPlayers!B101&amp;"|"&amp;InputPlayers!C101&amp;"|"&amp;InputPlayers!D101)</x:f>
      </x:c>
    </x:row>
    <x:row r="101">
      <x:c r="A101" s="42">
        <x:f>IF(H101="","",IF(COUNTIF($H$5:H101,H101)&gt;1,"",InputPlayers!A102))</x:f>
      </x:c>
      <x:c r="B101" s="43">
        <x:f>IF($A101="","",InputPlayers!B102)</x:f>
      </x:c>
      <x:c r="C101" s="43">
        <x:f>IF($A101="","",InputPlayers!C102)</x:f>
      </x:c>
      <x:c r="D101" s="44">
        <x:f>IF($A101="","",InputPlayers!D102)</x:f>
      </x:c>
      <x:c r="E101" s="44">
        <x:f>IF($A101="","",InputPlayers!E102)</x:f>
      </x:c>
      <x:c r="F101" s="44">
        <x:f>IF($A101="","",COUNTIFS(InputPlayers!$A$6:$A$305,$A101,InputPlayers!$B$6:$B$305,$B101,InputPlayers!$C$6:$C$305,$C101,InputPlayers!$D$6:$D$305,$D101,InputPlayers!$O$6:$O$305,"Да"))</x:f>
      </x:c>
      <x:c r="G101" s="44">
        <x:f>IF($A101="","",SUMIFS(InputPlayers!$N$6:$N$305,InputPlayers!$A$6:$A$305,$A101,InputPlayers!$B$6:$B$305,$B101,InputPlayers!$C$6:$C$305,$C101,InputPlayers!$D$6:$D$305,$D101,InputPlayers!$O$6:$O$305,"Да"))</x:f>
      </x:c>
      <x:c r="H101" s="44">
        <x:f>IF(InputPlayers!A102="","",TEXT(InputPlayers!A102,"dd.mm.yyyy")&amp;"|"&amp;InputPlayers!B102&amp;"|"&amp;InputPlayers!C102&amp;"|"&amp;InputPlayers!D102)</x:f>
      </x:c>
    </x:row>
    <x:row r="102">
      <x:c r="A102" s="42">
        <x:f>IF(H102="","",IF(COUNTIF($H$5:H102,H102)&gt;1,"",InputPlayers!A103))</x:f>
      </x:c>
      <x:c r="B102" s="43">
        <x:f>IF($A102="","",InputPlayers!B103)</x:f>
      </x:c>
      <x:c r="C102" s="43">
        <x:f>IF($A102="","",InputPlayers!C103)</x:f>
      </x:c>
      <x:c r="D102" s="44">
        <x:f>IF($A102="","",InputPlayers!D103)</x:f>
      </x:c>
      <x:c r="E102" s="44">
        <x:f>IF($A102="","",InputPlayers!E103)</x:f>
      </x:c>
      <x:c r="F102" s="44">
        <x:f>IF($A102="","",COUNTIFS(InputPlayers!$A$6:$A$305,$A102,InputPlayers!$B$6:$B$305,$B102,InputPlayers!$C$6:$C$305,$C102,InputPlayers!$D$6:$D$305,$D102,InputPlayers!$O$6:$O$305,"Да"))</x:f>
      </x:c>
      <x:c r="G102" s="44">
        <x:f>IF($A102="","",SUMIFS(InputPlayers!$N$6:$N$305,InputPlayers!$A$6:$A$305,$A102,InputPlayers!$B$6:$B$305,$B102,InputPlayers!$C$6:$C$305,$C102,InputPlayers!$D$6:$D$305,$D102,InputPlayers!$O$6:$O$305,"Да"))</x:f>
      </x:c>
      <x:c r="H102" s="44">
        <x:f>IF(InputPlayers!A103="","",TEXT(InputPlayers!A103,"dd.mm.yyyy")&amp;"|"&amp;InputPlayers!B103&amp;"|"&amp;InputPlayers!C103&amp;"|"&amp;InputPlayers!D103)</x:f>
      </x:c>
    </x:row>
    <x:row r="103">
      <x:c r="A103" s="42">
        <x:f>IF(H103="","",IF(COUNTIF($H$5:H103,H103)&gt;1,"",InputPlayers!A104))</x:f>
      </x:c>
      <x:c r="B103" s="43">
        <x:f>IF($A103="","",InputPlayers!B104)</x:f>
      </x:c>
      <x:c r="C103" s="43">
        <x:f>IF($A103="","",InputPlayers!C104)</x:f>
      </x:c>
      <x:c r="D103" s="44">
        <x:f>IF($A103="","",InputPlayers!D104)</x:f>
      </x:c>
      <x:c r="E103" s="44">
        <x:f>IF($A103="","",InputPlayers!E104)</x:f>
      </x:c>
      <x:c r="F103" s="44">
        <x:f>IF($A103="","",COUNTIFS(InputPlayers!$A$6:$A$305,$A103,InputPlayers!$B$6:$B$305,$B103,InputPlayers!$C$6:$C$305,$C103,InputPlayers!$D$6:$D$305,$D103,InputPlayers!$O$6:$O$305,"Да"))</x:f>
      </x:c>
      <x:c r="G103" s="44">
        <x:f>IF($A103="","",SUMIFS(InputPlayers!$N$6:$N$305,InputPlayers!$A$6:$A$305,$A103,InputPlayers!$B$6:$B$305,$B103,InputPlayers!$C$6:$C$305,$C103,InputPlayers!$D$6:$D$305,$D103,InputPlayers!$O$6:$O$305,"Да"))</x:f>
      </x:c>
      <x:c r="H103" s="44">
        <x:f>IF(InputPlayers!A104="","",TEXT(InputPlayers!A104,"dd.mm.yyyy")&amp;"|"&amp;InputPlayers!B104&amp;"|"&amp;InputPlayers!C104&amp;"|"&amp;InputPlayers!D104)</x:f>
      </x:c>
    </x:row>
    <x:row r="104">
      <x:c r="A104" s="42">
        <x:f>IF(H104="","",IF(COUNTIF($H$5:H104,H104)&gt;1,"",InputPlayers!A105))</x:f>
      </x:c>
      <x:c r="B104" s="43">
        <x:f>IF($A104="","",InputPlayers!B105)</x:f>
      </x:c>
      <x:c r="C104" s="43">
        <x:f>IF($A104="","",InputPlayers!C105)</x:f>
      </x:c>
      <x:c r="D104" s="44">
        <x:f>IF($A104="","",InputPlayers!D105)</x:f>
      </x:c>
      <x:c r="E104" s="44">
        <x:f>IF($A104="","",InputPlayers!E105)</x:f>
      </x:c>
      <x:c r="F104" s="44">
        <x:f>IF($A104="","",COUNTIFS(InputPlayers!$A$6:$A$305,$A104,InputPlayers!$B$6:$B$305,$B104,InputPlayers!$C$6:$C$305,$C104,InputPlayers!$D$6:$D$305,$D104,InputPlayers!$O$6:$O$305,"Да"))</x:f>
      </x:c>
      <x:c r="G104" s="44">
        <x:f>IF($A104="","",SUMIFS(InputPlayers!$N$6:$N$305,InputPlayers!$A$6:$A$305,$A104,InputPlayers!$B$6:$B$305,$B104,InputPlayers!$C$6:$C$305,$C104,InputPlayers!$D$6:$D$305,$D104,InputPlayers!$O$6:$O$305,"Да"))</x:f>
      </x:c>
      <x:c r="H104" s="44">
        <x:f>IF(InputPlayers!A105="","",TEXT(InputPlayers!A105,"dd.mm.yyyy")&amp;"|"&amp;InputPlayers!B105&amp;"|"&amp;InputPlayers!C105&amp;"|"&amp;InputPlayers!D105)</x:f>
      </x:c>
    </x:row>
    <x:row r="105">
      <x:c r="A105" s="42">
        <x:f>IF(H105="","",IF(COUNTIF($H$5:H105,H105)&gt;1,"",InputPlayers!A106))</x:f>
      </x:c>
      <x:c r="B105" s="43">
        <x:f>IF($A105="","",InputPlayers!B106)</x:f>
      </x:c>
      <x:c r="C105" s="43">
        <x:f>IF($A105="","",InputPlayers!C106)</x:f>
      </x:c>
      <x:c r="D105" s="44">
        <x:f>IF($A105="","",InputPlayers!D106)</x:f>
      </x:c>
      <x:c r="E105" s="44">
        <x:f>IF($A105="","",InputPlayers!E106)</x:f>
      </x:c>
      <x:c r="F105" s="44">
        <x:f>IF($A105="","",COUNTIFS(InputPlayers!$A$6:$A$305,$A105,InputPlayers!$B$6:$B$305,$B105,InputPlayers!$C$6:$C$305,$C105,InputPlayers!$D$6:$D$305,$D105,InputPlayers!$O$6:$O$305,"Да"))</x:f>
      </x:c>
      <x:c r="G105" s="44">
        <x:f>IF($A105="","",SUMIFS(InputPlayers!$N$6:$N$305,InputPlayers!$A$6:$A$305,$A105,InputPlayers!$B$6:$B$305,$B105,InputPlayers!$C$6:$C$305,$C105,InputPlayers!$D$6:$D$305,$D105,InputPlayers!$O$6:$O$305,"Да"))</x:f>
      </x:c>
      <x:c r="H105" s="44">
        <x:f>IF(InputPlayers!A106="","",TEXT(InputPlayers!A106,"dd.mm.yyyy")&amp;"|"&amp;InputPlayers!B106&amp;"|"&amp;InputPlayers!C106&amp;"|"&amp;InputPlayers!D106)</x:f>
      </x:c>
    </x:row>
    <x:row r="106">
      <x:c r="A106" s="42">
        <x:f>IF(H106="","",IF(COUNTIF($H$5:H106,H106)&gt;1,"",InputPlayers!A107))</x:f>
      </x:c>
      <x:c r="B106" s="43">
        <x:f>IF($A106="","",InputPlayers!B107)</x:f>
      </x:c>
      <x:c r="C106" s="43">
        <x:f>IF($A106="","",InputPlayers!C107)</x:f>
      </x:c>
      <x:c r="D106" s="44">
        <x:f>IF($A106="","",InputPlayers!D107)</x:f>
      </x:c>
      <x:c r="E106" s="44">
        <x:f>IF($A106="","",InputPlayers!E107)</x:f>
      </x:c>
      <x:c r="F106" s="44">
        <x:f>IF($A106="","",COUNTIFS(InputPlayers!$A$6:$A$305,$A106,InputPlayers!$B$6:$B$305,$B106,InputPlayers!$C$6:$C$305,$C106,InputPlayers!$D$6:$D$305,$D106,InputPlayers!$O$6:$O$305,"Да"))</x:f>
      </x:c>
      <x:c r="G106" s="44">
        <x:f>IF($A106="","",SUMIFS(InputPlayers!$N$6:$N$305,InputPlayers!$A$6:$A$305,$A106,InputPlayers!$B$6:$B$305,$B106,InputPlayers!$C$6:$C$305,$C106,InputPlayers!$D$6:$D$305,$D106,InputPlayers!$O$6:$O$305,"Да"))</x:f>
      </x:c>
      <x:c r="H106" s="44">
        <x:f>IF(InputPlayers!A107="","",TEXT(InputPlayers!A107,"dd.mm.yyyy")&amp;"|"&amp;InputPlayers!B107&amp;"|"&amp;InputPlayers!C107&amp;"|"&amp;InputPlayers!D107)</x:f>
      </x:c>
    </x:row>
    <x:row r="107">
      <x:c r="A107" s="42">
        <x:f>IF(H107="","",IF(COUNTIF($H$5:H107,H107)&gt;1,"",InputPlayers!A108))</x:f>
      </x:c>
      <x:c r="B107" s="43">
        <x:f>IF($A107="","",InputPlayers!B108)</x:f>
      </x:c>
      <x:c r="C107" s="43">
        <x:f>IF($A107="","",InputPlayers!C108)</x:f>
      </x:c>
      <x:c r="D107" s="44">
        <x:f>IF($A107="","",InputPlayers!D108)</x:f>
      </x:c>
      <x:c r="E107" s="44">
        <x:f>IF($A107="","",InputPlayers!E108)</x:f>
      </x:c>
      <x:c r="F107" s="44">
        <x:f>IF($A107="","",COUNTIFS(InputPlayers!$A$6:$A$305,$A107,InputPlayers!$B$6:$B$305,$B107,InputPlayers!$C$6:$C$305,$C107,InputPlayers!$D$6:$D$305,$D107,InputPlayers!$O$6:$O$305,"Да"))</x:f>
      </x:c>
      <x:c r="G107" s="44">
        <x:f>IF($A107="","",SUMIFS(InputPlayers!$N$6:$N$305,InputPlayers!$A$6:$A$305,$A107,InputPlayers!$B$6:$B$305,$B107,InputPlayers!$C$6:$C$305,$C107,InputPlayers!$D$6:$D$305,$D107,InputPlayers!$O$6:$O$305,"Да"))</x:f>
      </x:c>
      <x:c r="H107" s="44">
        <x:f>IF(InputPlayers!A108="","",TEXT(InputPlayers!A108,"dd.mm.yyyy")&amp;"|"&amp;InputPlayers!B108&amp;"|"&amp;InputPlayers!C108&amp;"|"&amp;InputPlayers!D108)</x:f>
      </x:c>
    </x:row>
    <x:row r="108">
      <x:c r="A108" s="42">
        <x:f>IF(H108="","",IF(COUNTIF($H$5:H108,H108)&gt;1,"",InputPlayers!A109))</x:f>
      </x:c>
      <x:c r="B108" s="43">
        <x:f>IF($A108="","",InputPlayers!B109)</x:f>
      </x:c>
      <x:c r="C108" s="43">
        <x:f>IF($A108="","",InputPlayers!C109)</x:f>
      </x:c>
      <x:c r="D108" s="44">
        <x:f>IF($A108="","",InputPlayers!D109)</x:f>
      </x:c>
      <x:c r="E108" s="44">
        <x:f>IF($A108="","",InputPlayers!E109)</x:f>
      </x:c>
      <x:c r="F108" s="44">
        <x:f>IF($A108="","",COUNTIFS(InputPlayers!$A$6:$A$305,$A108,InputPlayers!$B$6:$B$305,$B108,InputPlayers!$C$6:$C$305,$C108,InputPlayers!$D$6:$D$305,$D108,InputPlayers!$O$6:$O$305,"Да"))</x:f>
      </x:c>
      <x:c r="G108" s="44">
        <x:f>IF($A108="","",SUMIFS(InputPlayers!$N$6:$N$305,InputPlayers!$A$6:$A$305,$A108,InputPlayers!$B$6:$B$305,$B108,InputPlayers!$C$6:$C$305,$C108,InputPlayers!$D$6:$D$305,$D108,InputPlayers!$O$6:$O$305,"Да"))</x:f>
      </x:c>
      <x:c r="H108" s="44">
        <x:f>IF(InputPlayers!A109="","",TEXT(InputPlayers!A109,"dd.mm.yyyy")&amp;"|"&amp;InputPlayers!B109&amp;"|"&amp;InputPlayers!C109&amp;"|"&amp;InputPlayers!D109)</x:f>
      </x:c>
    </x:row>
    <x:row r="109">
      <x:c r="A109" s="42">
        <x:f>IF(H109="","",IF(COUNTIF($H$5:H109,H109)&gt;1,"",InputPlayers!A110))</x:f>
      </x:c>
      <x:c r="B109" s="43">
        <x:f>IF($A109="","",InputPlayers!B110)</x:f>
      </x:c>
      <x:c r="C109" s="43">
        <x:f>IF($A109="","",InputPlayers!C110)</x:f>
      </x:c>
      <x:c r="D109" s="44">
        <x:f>IF($A109="","",InputPlayers!D110)</x:f>
      </x:c>
      <x:c r="E109" s="44">
        <x:f>IF($A109="","",InputPlayers!E110)</x:f>
      </x:c>
      <x:c r="F109" s="44">
        <x:f>IF($A109="","",COUNTIFS(InputPlayers!$A$6:$A$305,$A109,InputPlayers!$B$6:$B$305,$B109,InputPlayers!$C$6:$C$305,$C109,InputPlayers!$D$6:$D$305,$D109,InputPlayers!$O$6:$O$305,"Да"))</x:f>
      </x:c>
      <x:c r="G109" s="44">
        <x:f>IF($A109="","",SUMIFS(InputPlayers!$N$6:$N$305,InputPlayers!$A$6:$A$305,$A109,InputPlayers!$B$6:$B$305,$B109,InputPlayers!$C$6:$C$305,$C109,InputPlayers!$D$6:$D$305,$D109,InputPlayers!$O$6:$O$305,"Да"))</x:f>
      </x:c>
      <x:c r="H109" s="44">
        <x:f>IF(InputPlayers!A110="","",TEXT(InputPlayers!A110,"dd.mm.yyyy")&amp;"|"&amp;InputPlayers!B110&amp;"|"&amp;InputPlayers!C110&amp;"|"&amp;InputPlayers!D110)</x:f>
      </x:c>
    </x:row>
    <x:row r="110">
      <x:c r="A110" s="42">
        <x:f>IF(H110="","",IF(COUNTIF($H$5:H110,H110)&gt;1,"",InputPlayers!A111))</x:f>
      </x:c>
      <x:c r="B110" s="43">
        <x:f>IF($A110="","",InputPlayers!B111)</x:f>
      </x:c>
      <x:c r="C110" s="43">
        <x:f>IF($A110="","",InputPlayers!C111)</x:f>
      </x:c>
      <x:c r="D110" s="44">
        <x:f>IF($A110="","",InputPlayers!D111)</x:f>
      </x:c>
      <x:c r="E110" s="44">
        <x:f>IF($A110="","",InputPlayers!E111)</x:f>
      </x:c>
      <x:c r="F110" s="44">
        <x:f>IF($A110="","",COUNTIFS(InputPlayers!$A$6:$A$305,$A110,InputPlayers!$B$6:$B$305,$B110,InputPlayers!$C$6:$C$305,$C110,InputPlayers!$D$6:$D$305,$D110,InputPlayers!$O$6:$O$305,"Да"))</x:f>
      </x:c>
      <x:c r="G110" s="44">
        <x:f>IF($A110="","",SUMIFS(InputPlayers!$N$6:$N$305,InputPlayers!$A$6:$A$305,$A110,InputPlayers!$B$6:$B$305,$B110,InputPlayers!$C$6:$C$305,$C110,InputPlayers!$D$6:$D$305,$D110,InputPlayers!$O$6:$O$305,"Да"))</x:f>
      </x:c>
      <x:c r="H110" s="44">
        <x:f>IF(InputPlayers!A111="","",TEXT(InputPlayers!A111,"dd.mm.yyyy")&amp;"|"&amp;InputPlayers!B111&amp;"|"&amp;InputPlayers!C111&amp;"|"&amp;InputPlayers!D111)</x:f>
      </x:c>
    </x:row>
    <x:row r="111">
      <x:c r="A111" s="42">
        <x:f>IF(H111="","",IF(COUNTIF($H$5:H111,H111)&gt;1,"",InputPlayers!A112))</x:f>
      </x:c>
      <x:c r="B111" s="43">
        <x:f>IF($A111="","",InputPlayers!B112)</x:f>
      </x:c>
      <x:c r="C111" s="43">
        <x:f>IF($A111="","",InputPlayers!C112)</x:f>
      </x:c>
      <x:c r="D111" s="44">
        <x:f>IF($A111="","",InputPlayers!D112)</x:f>
      </x:c>
      <x:c r="E111" s="44">
        <x:f>IF($A111="","",InputPlayers!E112)</x:f>
      </x:c>
      <x:c r="F111" s="44">
        <x:f>IF($A111="","",COUNTIFS(InputPlayers!$A$6:$A$305,$A111,InputPlayers!$B$6:$B$305,$B111,InputPlayers!$C$6:$C$305,$C111,InputPlayers!$D$6:$D$305,$D111,InputPlayers!$O$6:$O$305,"Да"))</x:f>
      </x:c>
      <x:c r="G111" s="44">
        <x:f>IF($A111="","",SUMIFS(InputPlayers!$N$6:$N$305,InputPlayers!$A$6:$A$305,$A111,InputPlayers!$B$6:$B$305,$B111,InputPlayers!$C$6:$C$305,$C111,InputPlayers!$D$6:$D$305,$D111,InputPlayers!$O$6:$O$305,"Да"))</x:f>
      </x:c>
      <x:c r="H111" s="44">
        <x:f>IF(InputPlayers!A112="","",TEXT(InputPlayers!A112,"dd.mm.yyyy")&amp;"|"&amp;InputPlayers!B112&amp;"|"&amp;InputPlayers!C112&amp;"|"&amp;InputPlayers!D112)</x:f>
      </x:c>
    </x:row>
    <x:row r="112">
      <x:c r="A112" s="42">
        <x:f>IF(H112="","",IF(COUNTIF($H$5:H112,H112)&gt;1,"",InputPlayers!A113))</x:f>
      </x:c>
      <x:c r="B112" s="43">
        <x:f>IF($A112="","",InputPlayers!B113)</x:f>
      </x:c>
      <x:c r="C112" s="43">
        <x:f>IF($A112="","",InputPlayers!C113)</x:f>
      </x:c>
      <x:c r="D112" s="44">
        <x:f>IF($A112="","",InputPlayers!D113)</x:f>
      </x:c>
      <x:c r="E112" s="44">
        <x:f>IF($A112="","",InputPlayers!E113)</x:f>
      </x:c>
      <x:c r="F112" s="44">
        <x:f>IF($A112="","",COUNTIFS(InputPlayers!$A$6:$A$305,$A112,InputPlayers!$B$6:$B$305,$B112,InputPlayers!$C$6:$C$305,$C112,InputPlayers!$D$6:$D$305,$D112,InputPlayers!$O$6:$O$305,"Да"))</x:f>
      </x:c>
      <x:c r="G112" s="44">
        <x:f>IF($A112="","",SUMIFS(InputPlayers!$N$6:$N$305,InputPlayers!$A$6:$A$305,$A112,InputPlayers!$B$6:$B$305,$B112,InputPlayers!$C$6:$C$305,$C112,InputPlayers!$D$6:$D$305,$D112,InputPlayers!$O$6:$O$305,"Да"))</x:f>
      </x:c>
      <x:c r="H112" s="44">
        <x:f>IF(InputPlayers!A113="","",TEXT(InputPlayers!A113,"dd.mm.yyyy")&amp;"|"&amp;InputPlayers!B113&amp;"|"&amp;InputPlayers!C113&amp;"|"&amp;InputPlayers!D113)</x:f>
      </x:c>
    </x:row>
    <x:row r="113">
      <x:c r="A113" s="42">
        <x:f>IF(H113="","",IF(COUNTIF($H$5:H113,H113)&gt;1,"",InputPlayers!A114))</x:f>
      </x:c>
      <x:c r="B113" s="43">
        <x:f>IF($A113="","",InputPlayers!B114)</x:f>
      </x:c>
      <x:c r="C113" s="43">
        <x:f>IF($A113="","",InputPlayers!C114)</x:f>
      </x:c>
      <x:c r="D113" s="44">
        <x:f>IF($A113="","",InputPlayers!D114)</x:f>
      </x:c>
      <x:c r="E113" s="44">
        <x:f>IF($A113="","",InputPlayers!E114)</x:f>
      </x:c>
      <x:c r="F113" s="44">
        <x:f>IF($A113="","",COUNTIFS(InputPlayers!$A$6:$A$305,$A113,InputPlayers!$B$6:$B$305,$B113,InputPlayers!$C$6:$C$305,$C113,InputPlayers!$D$6:$D$305,$D113,InputPlayers!$O$6:$O$305,"Да"))</x:f>
      </x:c>
      <x:c r="G113" s="44">
        <x:f>IF($A113="","",SUMIFS(InputPlayers!$N$6:$N$305,InputPlayers!$A$6:$A$305,$A113,InputPlayers!$B$6:$B$305,$B113,InputPlayers!$C$6:$C$305,$C113,InputPlayers!$D$6:$D$305,$D113,InputPlayers!$O$6:$O$305,"Да"))</x:f>
      </x:c>
      <x:c r="H113" s="44">
        <x:f>IF(InputPlayers!A114="","",TEXT(InputPlayers!A114,"dd.mm.yyyy")&amp;"|"&amp;InputPlayers!B114&amp;"|"&amp;InputPlayers!C114&amp;"|"&amp;InputPlayers!D114)</x:f>
      </x:c>
    </x:row>
    <x:row r="114">
      <x:c r="A114" s="42">
        <x:f>IF(H114="","",IF(COUNTIF($H$5:H114,H114)&gt;1,"",InputPlayers!A115))</x:f>
      </x:c>
      <x:c r="B114" s="43">
        <x:f>IF($A114="","",InputPlayers!B115)</x:f>
      </x:c>
      <x:c r="C114" s="43">
        <x:f>IF($A114="","",InputPlayers!C115)</x:f>
      </x:c>
      <x:c r="D114" s="44">
        <x:f>IF($A114="","",InputPlayers!D115)</x:f>
      </x:c>
      <x:c r="E114" s="44">
        <x:f>IF($A114="","",InputPlayers!E115)</x:f>
      </x:c>
      <x:c r="F114" s="44">
        <x:f>IF($A114="","",COUNTIFS(InputPlayers!$A$6:$A$305,$A114,InputPlayers!$B$6:$B$305,$B114,InputPlayers!$C$6:$C$305,$C114,InputPlayers!$D$6:$D$305,$D114,InputPlayers!$O$6:$O$305,"Да"))</x:f>
      </x:c>
      <x:c r="G114" s="44">
        <x:f>IF($A114="","",SUMIFS(InputPlayers!$N$6:$N$305,InputPlayers!$A$6:$A$305,$A114,InputPlayers!$B$6:$B$305,$B114,InputPlayers!$C$6:$C$305,$C114,InputPlayers!$D$6:$D$305,$D114,InputPlayers!$O$6:$O$305,"Да"))</x:f>
      </x:c>
      <x:c r="H114" s="44">
        <x:f>IF(InputPlayers!A115="","",TEXT(InputPlayers!A115,"dd.mm.yyyy")&amp;"|"&amp;InputPlayers!B115&amp;"|"&amp;InputPlayers!C115&amp;"|"&amp;InputPlayers!D115)</x:f>
      </x:c>
    </x:row>
    <x:row r="115">
      <x:c r="A115" s="42">
        <x:f>IF(H115="","",IF(COUNTIF($H$5:H115,H115)&gt;1,"",InputPlayers!A116))</x:f>
      </x:c>
      <x:c r="B115" s="43">
        <x:f>IF($A115="","",InputPlayers!B116)</x:f>
      </x:c>
      <x:c r="C115" s="43">
        <x:f>IF($A115="","",InputPlayers!C116)</x:f>
      </x:c>
      <x:c r="D115" s="44">
        <x:f>IF($A115="","",InputPlayers!D116)</x:f>
      </x:c>
      <x:c r="E115" s="44">
        <x:f>IF($A115="","",InputPlayers!E116)</x:f>
      </x:c>
      <x:c r="F115" s="44">
        <x:f>IF($A115="","",COUNTIFS(InputPlayers!$A$6:$A$305,$A115,InputPlayers!$B$6:$B$305,$B115,InputPlayers!$C$6:$C$305,$C115,InputPlayers!$D$6:$D$305,$D115,InputPlayers!$O$6:$O$305,"Да"))</x:f>
      </x:c>
      <x:c r="G115" s="44">
        <x:f>IF($A115="","",SUMIFS(InputPlayers!$N$6:$N$305,InputPlayers!$A$6:$A$305,$A115,InputPlayers!$B$6:$B$305,$B115,InputPlayers!$C$6:$C$305,$C115,InputPlayers!$D$6:$D$305,$D115,InputPlayers!$O$6:$O$305,"Да"))</x:f>
      </x:c>
      <x:c r="H115" s="44">
        <x:f>IF(InputPlayers!A116="","",TEXT(InputPlayers!A116,"dd.mm.yyyy")&amp;"|"&amp;InputPlayers!B116&amp;"|"&amp;InputPlayers!C116&amp;"|"&amp;InputPlayers!D116)</x:f>
      </x:c>
    </x:row>
    <x:row r="116">
      <x:c r="A116" s="42">
        <x:f>IF(H116="","",IF(COUNTIF($H$5:H116,H116)&gt;1,"",InputPlayers!A117))</x:f>
      </x:c>
      <x:c r="B116" s="43">
        <x:f>IF($A116="","",InputPlayers!B117)</x:f>
      </x:c>
      <x:c r="C116" s="43">
        <x:f>IF($A116="","",InputPlayers!C117)</x:f>
      </x:c>
      <x:c r="D116" s="44">
        <x:f>IF($A116="","",InputPlayers!D117)</x:f>
      </x:c>
      <x:c r="E116" s="44">
        <x:f>IF($A116="","",InputPlayers!E117)</x:f>
      </x:c>
      <x:c r="F116" s="44">
        <x:f>IF($A116="","",COUNTIFS(InputPlayers!$A$6:$A$305,$A116,InputPlayers!$B$6:$B$305,$B116,InputPlayers!$C$6:$C$305,$C116,InputPlayers!$D$6:$D$305,$D116,InputPlayers!$O$6:$O$305,"Да"))</x:f>
      </x:c>
      <x:c r="G116" s="44">
        <x:f>IF($A116="","",SUMIFS(InputPlayers!$N$6:$N$305,InputPlayers!$A$6:$A$305,$A116,InputPlayers!$B$6:$B$305,$B116,InputPlayers!$C$6:$C$305,$C116,InputPlayers!$D$6:$D$305,$D116,InputPlayers!$O$6:$O$305,"Да"))</x:f>
      </x:c>
      <x:c r="H116" s="44">
        <x:f>IF(InputPlayers!A117="","",TEXT(InputPlayers!A117,"dd.mm.yyyy")&amp;"|"&amp;InputPlayers!B117&amp;"|"&amp;InputPlayers!C117&amp;"|"&amp;InputPlayers!D117)</x:f>
      </x:c>
    </x:row>
    <x:row r="117">
      <x:c r="A117" s="42">
        <x:f>IF(H117="","",IF(COUNTIF($H$5:H117,H117)&gt;1,"",InputPlayers!A118))</x:f>
      </x:c>
      <x:c r="B117" s="43">
        <x:f>IF($A117="","",InputPlayers!B118)</x:f>
      </x:c>
      <x:c r="C117" s="43">
        <x:f>IF($A117="","",InputPlayers!C118)</x:f>
      </x:c>
      <x:c r="D117" s="44">
        <x:f>IF($A117="","",InputPlayers!D118)</x:f>
      </x:c>
      <x:c r="E117" s="44">
        <x:f>IF($A117="","",InputPlayers!E118)</x:f>
      </x:c>
      <x:c r="F117" s="44">
        <x:f>IF($A117="","",COUNTIFS(InputPlayers!$A$6:$A$305,$A117,InputPlayers!$B$6:$B$305,$B117,InputPlayers!$C$6:$C$305,$C117,InputPlayers!$D$6:$D$305,$D117,InputPlayers!$O$6:$O$305,"Да"))</x:f>
      </x:c>
      <x:c r="G117" s="44">
        <x:f>IF($A117="","",SUMIFS(InputPlayers!$N$6:$N$305,InputPlayers!$A$6:$A$305,$A117,InputPlayers!$B$6:$B$305,$B117,InputPlayers!$C$6:$C$305,$C117,InputPlayers!$D$6:$D$305,$D117,InputPlayers!$O$6:$O$305,"Да"))</x:f>
      </x:c>
      <x:c r="H117" s="44">
        <x:f>IF(InputPlayers!A118="","",TEXT(InputPlayers!A118,"dd.mm.yyyy")&amp;"|"&amp;InputPlayers!B118&amp;"|"&amp;InputPlayers!C118&amp;"|"&amp;InputPlayers!D118)</x:f>
      </x:c>
    </x:row>
    <x:row r="118">
      <x:c r="A118" s="42">
        <x:f>IF(H118="","",IF(COUNTIF($H$5:H118,H118)&gt;1,"",InputPlayers!A119))</x:f>
      </x:c>
      <x:c r="B118" s="43">
        <x:f>IF($A118="","",InputPlayers!B119)</x:f>
      </x:c>
      <x:c r="C118" s="43">
        <x:f>IF($A118="","",InputPlayers!C119)</x:f>
      </x:c>
      <x:c r="D118" s="44">
        <x:f>IF($A118="","",InputPlayers!D119)</x:f>
      </x:c>
      <x:c r="E118" s="44">
        <x:f>IF($A118="","",InputPlayers!E119)</x:f>
      </x:c>
      <x:c r="F118" s="44">
        <x:f>IF($A118="","",COUNTIFS(InputPlayers!$A$6:$A$305,$A118,InputPlayers!$B$6:$B$305,$B118,InputPlayers!$C$6:$C$305,$C118,InputPlayers!$D$6:$D$305,$D118,InputPlayers!$O$6:$O$305,"Да"))</x:f>
      </x:c>
      <x:c r="G118" s="44">
        <x:f>IF($A118="","",SUMIFS(InputPlayers!$N$6:$N$305,InputPlayers!$A$6:$A$305,$A118,InputPlayers!$B$6:$B$305,$B118,InputPlayers!$C$6:$C$305,$C118,InputPlayers!$D$6:$D$305,$D118,InputPlayers!$O$6:$O$305,"Да"))</x:f>
      </x:c>
      <x:c r="H118" s="44">
        <x:f>IF(InputPlayers!A119="","",TEXT(InputPlayers!A119,"dd.mm.yyyy")&amp;"|"&amp;InputPlayers!B119&amp;"|"&amp;InputPlayers!C119&amp;"|"&amp;InputPlayers!D119)</x:f>
      </x:c>
    </x:row>
    <x:row r="119">
      <x:c r="A119" s="42">
        <x:f>IF(H119="","",IF(COUNTIF($H$5:H119,H119)&gt;1,"",InputPlayers!A120))</x:f>
      </x:c>
      <x:c r="B119" s="43">
        <x:f>IF($A119="","",InputPlayers!B120)</x:f>
      </x:c>
      <x:c r="C119" s="43">
        <x:f>IF($A119="","",InputPlayers!C120)</x:f>
      </x:c>
      <x:c r="D119" s="44">
        <x:f>IF($A119="","",InputPlayers!D120)</x:f>
      </x:c>
      <x:c r="E119" s="44">
        <x:f>IF($A119="","",InputPlayers!E120)</x:f>
      </x:c>
      <x:c r="F119" s="44">
        <x:f>IF($A119="","",COUNTIFS(InputPlayers!$A$6:$A$305,$A119,InputPlayers!$B$6:$B$305,$B119,InputPlayers!$C$6:$C$305,$C119,InputPlayers!$D$6:$D$305,$D119,InputPlayers!$O$6:$O$305,"Да"))</x:f>
      </x:c>
      <x:c r="G119" s="44">
        <x:f>IF($A119="","",SUMIFS(InputPlayers!$N$6:$N$305,InputPlayers!$A$6:$A$305,$A119,InputPlayers!$B$6:$B$305,$B119,InputPlayers!$C$6:$C$305,$C119,InputPlayers!$D$6:$D$305,$D119,InputPlayers!$O$6:$O$305,"Да"))</x:f>
      </x:c>
      <x:c r="H119" s="44">
        <x:f>IF(InputPlayers!A120="","",TEXT(InputPlayers!A120,"dd.mm.yyyy")&amp;"|"&amp;InputPlayers!B120&amp;"|"&amp;InputPlayers!C120&amp;"|"&amp;InputPlayers!D120)</x:f>
      </x:c>
    </x:row>
    <x:row r="120">
      <x:c r="A120" s="42">
        <x:f>IF(H120="","",IF(COUNTIF($H$5:H120,H120)&gt;1,"",InputPlayers!A121))</x:f>
      </x:c>
      <x:c r="B120" s="43">
        <x:f>IF($A120="","",InputPlayers!B121)</x:f>
      </x:c>
      <x:c r="C120" s="43">
        <x:f>IF($A120="","",InputPlayers!C121)</x:f>
      </x:c>
      <x:c r="D120" s="44">
        <x:f>IF($A120="","",InputPlayers!D121)</x:f>
      </x:c>
      <x:c r="E120" s="44">
        <x:f>IF($A120="","",InputPlayers!E121)</x:f>
      </x:c>
      <x:c r="F120" s="44">
        <x:f>IF($A120="","",COUNTIFS(InputPlayers!$A$6:$A$305,$A120,InputPlayers!$B$6:$B$305,$B120,InputPlayers!$C$6:$C$305,$C120,InputPlayers!$D$6:$D$305,$D120,InputPlayers!$O$6:$O$305,"Да"))</x:f>
      </x:c>
      <x:c r="G120" s="44">
        <x:f>IF($A120="","",SUMIFS(InputPlayers!$N$6:$N$305,InputPlayers!$A$6:$A$305,$A120,InputPlayers!$B$6:$B$305,$B120,InputPlayers!$C$6:$C$305,$C120,InputPlayers!$D$6:$D$305,$D120,InputPlayers!$O$6:$O$305,"Да"))</x:f>
      </x:c>
      <x:c r="H120" s="44">
        <x:f>IF(InputPlayers!A121="","",TEXT(InputPlayers!A121,"dd.mm.yyyy")&amp;"|"&amp;InputPlayers!B121&amp;"|"&amp;InputPlayers!C121&amp;"|"&amp;InputPlayers!D121)</x:f>
      </x:c>
    </x:row>
    <x:row r="121">
      <x:c r="A121" s="42">
        <x:f>IF(H121="","",IF(COUNTIF($H$5:H121,H121)&gt;1,"",InputPlayers!A122))</x:f>
      </x:c>
      <x:c r="B121" s="43">
        <x:f>IF($A121="","",InputPlayers!B122)</x:f>
      </x:c>
      <x:c r="C121" s="43">
        <x:f>IF($A121="","",InputPlayers!C122)</x:f>
      </x:c>
      <x:c r="D121" s="44">
        <x:f>IF($A121="","",InputPlayers!D122)</x:f>
      </x:c>
      <x:c r="E121" s="44">
        <x:f>IF($A121="","",InputPlayers!E122)</x:f>
      </x:c>
      <x:c r="F121" s="44">
        <x:f>IF($A121="","",COUNTIFS(InputPlayers!$A$6:$A$305,$A121,InputPlayers!$B$6:$B$305,$B121,InputPlayers!$C$6:$C$305,$C121,InputPlayers!$D$6:$D$305,$D121,InputPlayers!$O$6:$O$305,"Да"))</x:f>
      </x:c>
      <x:c r="G121" s="44">
        <x:f>IF($A121="","",SUMIFS(InputPlayers!$N$6:$N$305,InputPlayers!$A$6:$A$305,$A121,InputPlayers!$B$6:$B$305,$B121,InputPlayers!$C$6:$C$305,$C121,InputPlayers!$D$6:$D$305,$D121,InputPlayers!$O$6:$O$305,"Да"))</x:f>
      </x:c>
      <x:c r="H121" s="44">
        <x:f>IF(InputPlayers!A122="","",TEXT(InputPlayers!A122,"dd.mm.yyyy")&amp;"|"&amp;InputPlayers!B122&amp;"|"&amp;InputPlayers!C122&amp;"|"&amp;InputPlayers!D122)</x:f>
      </x:c>
    </x:row>
    <x:row r="122">
      <x:c r="A122" s="42">
        <x:f>IF(H122="","",IF(COUNTIF($H$5:H122,H122)&gt;1,"",InputPlayers!A123))</x:f>
      </x:c>
      <x:c r="B122" s="43">
        <x:f>IF($A122="","",InputPlayers!B123)</x:f>
      </x:c>
      <x:c r="C122" s="43">
        <x:f>IF($A122="","",InputPlayers!C123)</x:f>
      </x:c>
      <x:c r="D122" s="44">
        <x:f>IF($A122="","",InputPlayers!D123)</x:f>
      </x:c>
      <x:c r="E122" s="44">
        <x:f>IF($A122="","",InputPlayers!E123)</x:f>
      </x:c>
      <x:c r="F122" s="44">
        <x:f>IF($A122="","",COUNTIFS(InputPlayers!$A$6:$A$305,$A122,InputPlayers!$B$6:$B$305,$B122,InputPlayers!$C$6:$C$305,$C122,InputPlayers!$D$6:$D$305,$D122,InputPlayers!$O$6:$O$305,"Да"))</x:f>
      </x:c>
      <x:c r="G122" s="44">
        <x:f>IF($A122="","",SUMIFS(InputPlayers!$N$6:$N$305,InputPlayers!$A$6:$A$305,$A122,InputPlayers!$B$6:$B$305,$B122,InputPlayers!$C$6:$C$305,$C122,InputPlayers!$D$6:$D$305,$D122,InputPlayers!$O$6:$O$305,"Да"))</x:f>
      </x:c>
      <x:c r="H122" s="44">
        <x:f>IF(InputPlayers!A123="","",TEXT(InputPlayers!A123,"dd.mm.yyyy")&amp;"|"&amp;InputPlayers!B123&amp;"|"&amp;InputPlayers!C123&amp;"|"&amp;InputPlayers!D123)</x:f>
      </x:c>
    </x:row>
    <x:row r="123">
      <x:c r="A123" s="42">
        <x:f>IF(H123="","",IF(COUNTIF($H$5:H123,H123)&gt;1,"",InputPlayers!A124))</x:f>
      </x:c>
      <x:c r="B123" s="43">
        <x:f>IF($A123="","",InputPlayers!B124)</x:f>
      </x:c>
      <x:c r="C123" s="43">
        <x:f>IF($A123="","",InputPlayers!C124)</x:f>
      </x:c>
      <x:c r="D123" s="44">
        <x:f>IF($A123="","",InputPlayers!D124)</x:f>
      </x:c>
      <x:c r="E123" s="44">
        <x:f>IF($A123="","",InputPlayers!E124)</x:f>
      </x:c>
      <x:c r="F123" s="44">
        <x:f>IF($A123="","",COUNTIFS(InputPlayers!$A$6:$A$305,$A123,InputPlayers!$B$6:$B$305,$B123,InputPlayers!$C$6:$C$305,$C123,InputPlayers!$D$6:$D$305,$D123,InputPlayers!$O$6:$O$305,"Да"))</x:f>
      </x:c>
      <x:c r="G123" s="44">
        <x:f>IF($A123="","",SUMIFS(InputPlayers!$N$6:$N$305,InputPlayers!$A$6:$A$305,$A123,InputPlayers!$B$6:$B$305,$B123,InputPlayers!$C$6:$C$305,$C123,InputPlayers!$D$6:$D$305,$D123,InputPlayers!$O$6:$O$305,"Да"))</x:f>
      </x:c>
      <x:c r="H123" s="44">
        <x:f>IF(InputPlayers!A124="","",TEXT(InputPlayers!A124,"dd.mm.yyyy")&amp;"|"&amp;InputPlayers!B124&amp;"|"&amp;InputPlayers!C124&amp;"|"&amp;InputPlayers!D124)</x:f>
      </x:c>
    </x:row>
    <x:row r="124">
      <x:c r="A124" s="42">
        <x:f>IF(H124="","",IF(COUNTIF($H$5:H124,H124)&gt;1,"",InputPlayers!A125))</x:f>
      </x:c>
      <x:c r="B124" s="43">
        <x:f>IF($A124="","",InputPlayers!B125)</x:f>
      </x:c>
      <x:c r="C124" s="43">
        <x:f>IF($A124="","",InputPlayers!C125)</x:f>
      </x:c>
      <x:c r="D124" s="44">
        <x:f>IF($A124="","",InputPlayers!D125)</x:f>
      </x:c>
      <x:c r="E124" s="44">
        <x:f>IF($A124="","",InputPlayers!E125)</x:f>
      </x:c>
      <x:c r="F124" s="44">
        <x:f>IF($A124="","",COUNTIFS(InputPlayers!$A$6:$A$305,$A124,InputPlayers!$B$6:$B$305,$B124,InputPlayers!$C$6:$C$305,$C124,InputPlayers!$D$6:$D$305,$D124,InputPlayers!$O$6:$O$305,"Да"))</x:f>
      </x:c>
      <x:c r="G124" s="44">
        <x:f>IF($A124="","",SUMIFS(InputPlayers!$N$6:$N$305,InputPlayers!$A$6:$A$305,$A124,InputPlayers!$B$6:$B$305,$B124,InputPlayers!$C$6:$C$305,$C124,InputPlayers!$D$6:$D$305,$D124,InputPlayers!$O$6:$O$305,"Да"))</x:f>
      </x:c>
      <x:c r="H124" s="44">
        <x:f>IF(InputPlayers!A125="","",TEXT(InputPlayers!A125,"dd.mm.yyyy")&amp;"|"&amp;InputPlayers!B125&amp;"|"&amp;InputPlayers!C125&amp;"|"&amp;InputPlayers!D125)</x:f>
      </x:c>
    </x:row>
    <x:row r="125">
      <x:c r="A125" s="42">
        <x:f>IF(H125="","",IF(COUNTIF($H$5:H125,H125)&gt;1,"",InputPlayers!A126))</x:f>
      </x:c>
      <x:c r="B125" s="43">
        <x:f>IF($A125="","",InputPlayers!B126)</x:f>
      </x:c>
      <x:c r="C125" s="43">
        <x:f>IF($A125="","",InputPlayers!C126)</x:f>
      </x:c>
      <x:c r="D125" s="44">
        <x:f>IF($A125="","",InputPlayers!D126)</x:f>
      </x:c>
      <x:c r="E125" s="44">
        <x:f>IF($A125="","",InputPlayers!E126)</x:f>
      </x:c>
      <x:c r="F125" s="44">
        <x:f>IF($A125="","",COUNTIFS(InputPlayers!$A$6:$A$305,$A125,InputPlayers!$B$6:$B$305,$B125,InputPlayers!$C$6:$C$305,$C125,InputPlayers!$D$6:$D$305,$D125,InputPlayers!$O$6:$O$305,"Да"))</x:f>
      </x:c>
      <x:c r="G125" s="44">
        <x:f>IF($A125="","",SUMIFS(InputPlayers!$N$6:$N$305,InputPlayers!$A$6:$A$305,$A125,InputPlayers!$B$6:$B$305,$B125,InputPlayers!$C$6:$C$305,$C125,InputPlayers!$D$6:$D$305,$D125,InputPlayers!$O$6:$O$305,"Да"))</x:f>
      </x:c>
      <x:c r="H125" s="44">
        <x:f>IF(InputPlayers!A126="","",TEXT(InputPlayers!A126,"dd.mm.yyyy")&amp;"|"&amp;InputPlayers!B126&amp;"|"&amp;InputPlayers!C126&amp;"|"&amp;InputPlayers!D126)</x:f>
      </x:c>
    </x:row>
    <x:row r="126">
      <x:c r="A126" s="42">
        <x:f>IF(H126="","",IF(COUNTIF($H$5:H126,H126)&gt;1,"",InputPlayers!A127))</x:f>
      </x:c>
      <x:c r="B126" s="43">
        <x:f>IF($A126="","",InputPlayers!B127)</x:f>
      </x:c>
      <x:c r="C126" s="43">
        <x:f>IF($A126="","",InputPlayers!C127)</x:f>
      </x:c>
      <x:c r="D126" s="44">
        <x:f>IF($A126="","",InputPlayers!D127)</x:f>
      </x:c>
      <x:c r="E126" s="44">
        <x:f>IF($A126="","",InputPlayers!E127)</x:f>
      </x:c>
      <x:c r="F126" s="44">
        <x:f>IF($A126="","",COUNTIFS(InputPlayers!$A$6:$A$305,$A126,InputPlayers!$B$6:$B$305,$B126,InputPlayers!$C$6:$C$305,$C126,InputPlayers!$D$6:$D$305,$D126,InputPlayers!$O$6:$O$305,"Да"))</x:f>
      </x:c>
      <x:c r="G126" s="44">
        <x:f>IF($A126="","",SUMIFS(InputPlayers!$N$6:$N$305,InputPlayers!$A$6:$A$305,$A126,InputPlayers!$B$6:$B$305,$B126,InputPlayers!$C$6:$C$305,$C126,InputPlayers!$D$6:$D$305,$D126,InputPlayers!$O$6:$O$305,"Да"))</x:f>
      </x:c>
      <x:c r="H126" s="44">
        <x:f>IF(InputPlayers!A127="","",TEXT(InputPlayers!A127,"dd.mm.yyyy")&amp;"|"&amp;InputPlayers!B127&amp;"|"&amp;InputPlayers!C127&amp;"|"&amp;InputPlayers!D127)</x:f>
      </x:c>
    </x:row>
    <x:row r="127">
      <x:c r="A127" s="42">
        <x:f>IF(H127="","",IF(COUNTIF($H$5:H127,H127)&gt;1,"",InputPlayers!A128))</x:f>
      </x:c>
      <x:c r="B127" s="43">
        <x:f>IF($A127="","",InputPlayers!B128)</x:f>
      </x:c>
      <x:c r="C127" s="43">
        <x:f>IF($A127="","",InputPlayers!C128)</x:f>
      </x:c>
      <x:c r="D127" s="44">
        <x:f>IF($A127="","",InputPlayers!D128)</x:f>
      </x:c>
      <x:c r="E127" s="44">
        <x:f>IF($A127="","",InputPlayers!E128)</x:f>
      </x:c>
      <x:c r="F127" s="44">
        <x:f>IF($A127="","",COUNTIFS(InputPlayers!$A$6:$A$305,$A127,InputPlayers!$B$6:$B$305,$B127,InputPlayers!$C$6:$C$305,$C127,InputPlayers!$D$6:$D$305,$D127,InputPlayers!$O$6:$O$305,"Да"))</x:f>
      </x:c>
      <x:c r="G127" s="44">
        <x:f>IF($A127="","",SUMIFS(InputPlayers!$N$6:$N$305,InputPlayers!$A$6:$A$305,$A127,InputPlayers!$B$6:$B$305,$B127,InputPlayers!$C$6:$C$305,$C127,InputPlayers!$D$6:$D$305,$D127,InputPlayers!$O$6:$O$305,"Да"))</x:f>
      </x:c>
      <x:c r="H127" s="44">
        <x:f>IF(InputPlayers!A128="","",TEXT(InputPlayers!A128,"dd.mm.yyyy")&amp;"|"&amp;InputPlayers!B128&amp;"|"&amp;InputPlayers!C128&amp;"|"&amp;InputPlayers!D128)</x:f>
      </x:c>
    </x:row>
    <x:row r="128">
      <x:c r="A128" s="42">
        <x:f>IF(H128="","",IF(COUNTIF($H$5:H128,H128)&gt;1,"",InputPlayers!A129))</x:f>
      </x:c>
      <x:c r="B128" s="43">
        <x:f>IF($A128="","",InputPlayers!B129)</x:f>
      </x:c>
      <x:c r="C128" s="43">
        <x:f>IF($A128="","",InputPlayers!C129)</x:f>
      </x:c>
      <x:c r="D128" s="44">
        <x:f>IF($A128="","",InputPlayers!D129)</x:f>
      </x:c>
      <x:c r="E128" s="44">
        <x:f>IF($A128="","",InputPlayers!E129)</x:f>
      </x:c>
      <x:c r="F128" s="44">
        <x:f>IF($A128="","",COUNTIFS(InputPlayers!$A$6:$A$305,$A128,InputPlayers!$B$6:$B$305,$B128,InputPlayers!$C$6:$C$305,$C128,InputPlayers!$D$6:$D$305,$D128,InputPlayers!$O$6:$O$305,"Да"))</x:f>
      </x:c>
      <x:c r="G128" s="44">
        <x:f>IF($A128="","",SUMIFS(InputPlayers!$N$6:$N$305,InputPlayers!$A$6:$A$305,$A128,InputPlayers!$B$6:$B$305,$B128,InputPlayers!$C$6:$C$305,$C128,InputPlayers!$D$6:$D$305,$D128,InputPlayers!$O$6:$O$305,"Да"))</x:f>
      </x:c>
      <x:c r="H128" s="44">
        <x:f>IF(InputPlayers!A129="","",TEXT(InputPlayers!A129,"dd.mm.yyyy")&amp;"|"&amp;InputPlayers!B129&amp;"|"&amp;InputPlayers!C129&amp;"|"&amp;InputPlayers!D129)</x:f>
      </x:c>
    </x:row>
    <x:row r="129">
      <x:c r="A129" s="42">
        <x:f>IF(H129="","",IF(COUNTIF($H$5:H129,H129)&gt;1,"",InputPlayers!A130))</x:f>
      </x:c>
      <x:c r="B129" s="43">
        <x:f>IF($A129="","",InputPlayers!B130)</x:f>
      </x:c>
      <x:c r="C129" s="43">
        <x:f>IF($A129="","",InputPlayers!C130)</x:f>
      </x:c>
      <x:c r="D129" s="44">
        <x:f>IF($A129="","",InputPlayers!D130)</x:f>
      </x:c>
      <x:c r="E129" s="44">
        <x:f>IF($A129="","",InputPlayers!E130)</x:f>
      </x:c>
      <x:c r="F129" s="44">
        <x:f>IF($A129="","",COUNTIFS(InputPlayers!$A$6:$A$305,$A129,InputPlayers!$B$6:$B$305,$B129,InputPlayers!$C$6:$C$305,$C129,InputPlayers!$D$6:$D$305,$D129,InputPlayers!$O$6:$O$305,"Да"))</x:f>
      </x:c>
      <x:c r="G129" s="44">
        <x:f>IF($A129="","",SUMIFS(InputPlayers!$N$6:$N$305,InputPlayers!$A$6:$A$305,$A129,InputPlayers!$B$6:$B$305,$B129,InputPlayers!$C$6:$C$305,$C129,InputPlayers!$D$6:$D$305,$D129,InputPlayers!$O$6:$O$305,"Да"))</x:f>
      </x:c>
      <x:c r="H129" s="44">
        <x:f>IF(InputPlayers!A130="","",TEXT(InputPlayers!A130,"dd.mm.yyyy")&amp;"|"&amp;InputPlayers!B130&amp;"|"&amp;InputPlayers!C130&amp;"|"&amp;InputPlayers!D130)</x:f>
      </x:c>
    </x:row>
    <x:row r="130">
      <x:c r="A130" s="42">
        <x:f>IF(H130="","",IF(COUNTIF($H$5:H130,H130)&gt;1,"",InputPlayers!A131))</x:f>
      </x:c>
      <x:c r="B130" s="43">
        <x:f>IF($A130="","",InputPlayers!B131)</x:f>
      </x:c>
      <x:c r="C130" s="43">
        <x:f>IF($A130="","",InputPlayers!C131)</x:f>
      </x:c>
      <x:c r="D130" s="44">
        <x:f>IF($A130="","",InputPlayers!D131)</x:f>
      </x:c>
      <x:c r="E130" s="44">
        <x:f>IF($A130="","",InputPlayers!E131)</x:f>
      </x:c>
      <x:c r="F130" s="44">
        <x:f>IF($A130="","",COUNTIFS(InputPlayers!$A$6:$A$305,$A130,InputPlayers!$B$6:$B$305,$B130,InputPlayers!$C$6:$C$305,$C130,InputPlayers!$D$6:$D$305,$D130,InputPlayers!$O$6:$O$305,"Да"))</x:f>
      </x:c>
      <x:c r="G130" s="44">
        <x:f>IF($A130="","",SUMIFS(InputPlayers!$N$6:$N$305,InputPlayers!$A$6:$A$305,$A130,InputPlayers!$B$6:$B$305,$B130,InputPlayers!$C$6:$C$305,$C130,InputPlayers!$D$6:$D$305,$D130,InputPlayers!$O$6:$O$305,"Да"))</x:f>
      </x:c>
      <x:c r="H130" s="44">
        <x:f>IF(InputPlayers!A131="","",TEXT(InputPlayers!A131,"dd.mm.yyyy")&amp;"|"&amp;InputPlayers!B131&amp;"|"&amp;InputPlayers!C131&amp;"|"&amp;InputPlayers!D131)</x:f>
      </x:c>
    </x:row>
    <x:row r="131">
      <x:c r="A131" s="42">
        <x:f>IF(H131="","",IF(COUNTIF($H$5:H131,H131)&gt;1,"",InputPlayers!A132))</x:f>
      </x:c>
      <x:c r="B131" s="43">
        <x:f>IF($A131="","",InputPlayers!B132)</x:f>
      </x:c>
      <x:c r="C131" s="43">
        <x:f>IF($A131="","",InputPlayers!C132)</x:f>
      </x:c>
      <x:c r="D131" s="44">
        <x:f>IF($A131="","",InputPlayers!D132)</x:f>
      </x:c>
      <x:c r="E131" s="44">
        <x:f>IF($A131="","",InputPlayers!E132)</x:f>
      </x:c>
      <x:c r="F131" s="44">
        <x:f>IF($A131="","",COUNTIFS(InputPlayers!$A$6:$A$305,$A131,InputPlayers!$B$6:$B$305,$B131,InputPlayers!$C$6:$C$305,$C131,InputPlayers!$D$6:$D$305,$D131,InputPlayers!$O$6:$O$305,"Да"))</x:f>
      </x:c>
      <x:c r="G131" s="44">
        <x:f>IF($A131="","",SUMIFS(InputPlayers!$N$6:$N$305,InputPlayers!$A$6:$A$305,$A131,InputPlayers!$B$6:$B$305,$B131,InputPlayers!$C$6:$C$305,$C131,InputPlayers!$D$6:$D$305,$D131,InputPlayers!$O$6:$O$305,"Да"))</x:f>
      </x:c>
      <x:c r="H131" s="44">
        <x:f>IF(InputPlayers!A132="","",TEXT(InputPlayers!A132,"dd.mm.yyyy")&amp;"|"&amp;InputPlayers!B132&amp;"|"&amp;InputPlayers!C132&amp;"|"&amp;InputPlayers!D132)</x:f>
      </x:c>
    </x:row>
    <x:row r="132">
      <x:c r="A132" s="42">
        <x:f>IF(H132="","",IF(COUNTIF($H$5:H132,H132)&gt;1,"",InputPlayers!A133))</x:f>
      </x:c>
      <x:c r="B132" s="43">
        <x:f>IF($A132="","",InputPlayers!B133)</x:f>
      </x:c>
      <x:c r="C132" s="43">
        <x:f>IF($A132="","",InputPlayers!C133)</x:f>
      </x:c>
      <x:c r="D132" s="44">
        <x:f>IF($A132="","",InputPlayers!D133)</x:f>
      </x:c>
      <x:c r="E132" s="44">
        <x:f>IF($A132="","",InputPlayers!E133)</x:f>
      </x:c>
      <x:c r="F132" s="44">
        <x:f>IF($A132="","",COUNTIFS(InputPlayers!$A$6:$A$305,$A132,InputPlayers!$B$6:$B$305,$B132,InputPlayers!$C$6:$C$305,$C132,InputPlayers!$D$6:$D$305,$D132,InputPlayers!$O$6:$O$305,"Да"))</x:f>
      </x:c>
      <x:c r="G132" s="44">
        <x:f>IF($A132="","",SUMIFS(InputPlayers!$N$6:$N$305,InputPlayers!$A$6:$A$305,$A132,InputPlayers!$B$6:$B$305,$B132,InputPlayers!$C$6:$C$305,$C132,InputPlayers!$D$6:$D$305,$D132,InputPlayers!$O$6:$O$305,"Да"))</x:f>
      </x:c>
      <x:c r="H132" s="44">
        <x:f>IF(InputPlayers!A133="","",TEXT(InputPlayers!A133,"dd.mm.yyyy")&amp;"|"&amp;InputPlayers!B133&amp;"|"&amp;InputPlayers!C133&amp;"|"&amp;InputPlayers!D133)</x:f>
      </x:c>
    </x:row>
    <x:row r="133">
      <x:c r="A133" s="42">
        <x:f>IF(H133="","",IF(COUNTIF($H$5:H133,H133)&gt;1,"",InputPlayers!A134))</x:f>
      </x:c>
      <x:c r="B133" s="43">
        <x:f>IF($A133="","",InputPlayers!B134)</x:f>
      </x:c>
      <x:c r="C133" s="43">
        <x:f>IF($A133="","",InputPlayers!C134)</x:f>
      </x:c>
      <x:c r="D133" s="44">
        <x:f>IF($A133="","",InputPlayers!D134)</x:f>
      </x:c>
      <x:c r="E133" s="44">
        <x:f>IF($A133="","",InputPlayers!E134)</x:f>
      </x:c>
      <x:c r="F133" s="44">
        <x:f>IF($A133="","",COUNTIFS(InputPlayers!$A$6:$A$305,$A133,InputPlayers!$B$6:$B$305,$B133,InputPlayers!$C$6:$C$305,$C133,InputPlayers!$D$6:$D$305,$D133,InputPlayers!$O$6:$O$305,"Да"))</x:f>
      </x:c>
      <x:c r="G133" s="44">
        <x:f>IF($A133="","",SUMIFS(InputPlayers!$N$6:$N$305,InputPlayers!$A$6:$A$305,$A133,InputPlayers!$B$6:$B$305,$B133,InputPlayers!$C$6:$C$305,$C133,InputPlayers!$D$6:$D$305,$D133,InputPlayers!$O$6:$O$305,"Да"))</x:f>
      </x:c>
      <x:c r="H133" s="44">
        <x:f>IF(InputPlayers!A134="","",TEXT(InputPlayers!A134,"dd.mm.yyyy")&amp;"|"&amp;InputPlayers!B134&amp;"|"&amp;InputPlayers!C134&amp;"|"&amp;InputPlayers!D134)</x:f>
      </x:c>
    </x:row>
    <x:row r="134">
      <x:c r="A134" s="42">
        <x:f>IF(H134="","",IF(COUNTIF($H$5:H134,H134)&gt;1,"",InputPlayers!A135))</x:f>
      </x:c>
      <x:c r="B134" s="43">
        <x:f>IF($A134="","",InputPlayers!B135)</x:f>
      </x:c>
      <x:c r="C134" s="43">
        <x:f>IF($A134="","",InputPlayers!C135)</x:f>
      </x:c>
      <x:c r="D134" s="44">
        <x:f>IF($A134="","",InputPlayers!D135)</x:f>
      </x:c>
      <x:c r="E134" s="44">
        <x:f>IF($A134="","",InputPlayers!E135)</x:f>
      </x:c>
      <x:c r="F134" s="44">
        <x:f>IF($A134="","",COUNTIFS(InputPlayers!$A$6:$A$305,$A134,InputPlayers!$B$6:$B$305,$B134,InputPlayers!$C$6:$C$305,$C134,InputPlayers!$D$6:$D$305,$D134,InputPlayers!$O$6:$O$305,"Да"))</x:f>
      </x:c>
      <x:c r="G134" s="44">
        <x:f>IF($A134="","",SUMIFS(InputPlayers!$N$6:$N$305,InputPlayers!$A$6:$A$305,$A134,InputPlayers!$B$6:$B$305,$B134,InputPlayers!$C$6:$C$305,$C134,InputPlayers!$D$6:$D$305,$D134,InputPlayers!$O$6:$O$305,"Да"))</x:f>
      </x:c>
      <x:c r="H134" s="44">
        <x:f>IF(InputPlayers!A135="","",TEXT(InputPlayers!A135,"dd.mm.yyyy")&amp;"|"&amp;InputPlayers!B135&amp;"|"&amp;InputPlayers!C135&amp;"|"&amp;InputPlayers!D135)</x:f>
      </x:c>
    </x:row>
    <x:row r="135">
      <x:c r="A135" s="42">
        <x:f>IF(H135="","",IF(COUNTIF($H$5:H135,H135)&gt;1,"",InputPlayers!A136))</x:f>
      </x:c>
      <x:c r="B135" s="43">
        <x:f>IF($A135="","",InputPlayers!B136)</x:f>
      </x:c>
      <x:c r="C135" s="43">
        <x:f>IF($A135="","",InputPlayers!C136)</x:f>
      </x:c>
      <x:c r="D135" s="44">
        <x:f>IF($A135="","",InputPlayers!D136)</x:f>
      </x:c>
      <x:c r="E135" s="44">
        <x:f>IF($A135="","",InputPlayers!E136)</x:f>
      </x:c>
      <x:c r="F135" s="44">
        <x:f>IF($A135="","",COUNTIFS(InputPlayers!$A$6:$A$305,$A135,InputPlayers!$B$6:$B$305,$B135,InputPlayers!$C$6:$C$305,$C135,InputPlayers!$D$6:$D$305,$D135,InputPlayers!$O$6:$O$305,"Да"))</x:f>
      </x:c>
      <x:c r="G135" s="44">
        <x:f>IF($A135="","",SUMIFS(InputPlayers!$N$6:$N$305,InputPlayers!$A$6:$A$305,$A135,InputPlayers!$B$6:$B$305,$B135,InputPlayers!$C$6:$C$305,$C135,InputPlayers!$D$6:$D$305,$D135,InputPlayers!$O$6:$O$305,"Да"))</x:f>
      </x:c>
      <x:c r="H135" s="44">
        <x:f>IF(InputPlayers!A136="","",TEXT(InputPlayers!A136,"dd.mm.yyyy")&amp;"|"&amp;InputPlayers!B136&amp;"|"&amp;InputPlayers!C136&amp;"|"&amp;InputPlayers!D136)</x:f>
      </x:c>
    </x:row>
    <x:row r="136">
      <x:c r="A136" s="42">
        <x:f>IF(H136="","",IF(COUNTIF($H$5:H136,H136)&gt;1,"",InputPlayers!A137))</x:f>
      </x:c>
      <x:c r="B136" s="43">
        <x:f>IF($A136="","",InputPlayers!B137)</x:f>
      </x:c>
      <x:c r="C136" s="43">
        <x:f>IF($A136="","",InputPlayers!C137)</x:f>
      </x:c>
      <x:c r="D136" s="44">
        <x:f>IF($A136="","",InputPlayers!D137)</x:f>
      </x:c>
      <x:c r="E136" s="44">
        <x:f>IF($A136="","",InputPlayers!E137)</x:f>
      </x:c>
      <x:c r="F136" s="44">
        <x:f>IF($A136="","",COUNTIFS(InputPlayers!$A$6:$A$305,$A136,InputPlayers!$B$6:$B$305,$B136,InputPlayers!$C$6:$C$305,$C136,InputPlayers!$D$6:$D$305,$D136,InputPlayers!$O$6:$O$305,"Да"))</x:f>
      </x:c>
      <x:c r="G136" s="44">
        <x:f>IF($A136="","",SUMIFS(InputPlayers!$N$6:$N$305,InputPlayers!$A$6:$A$305,$A136,InputPlayers!$B$6:$B$305,$B136,InputPlayers!$C$6:$C$305,$C136,InputPlayers!$D$6:$D$305,$D136,InputPlayers!$O$6:$O$305,"Да"))</x:f>
      </x:c>
      <x:c r="H136" s="44">
        <x:f>IF(InputPlayers!A137="","",TEXT(InputPlayers!A137,"dd.mm.yyyy")&amp;"|"&amp;InputPlayers!B137&amp;"|"&amp;InputPlayers!C137&amp;"|"&amp;InputPlayers!D137)</x:f>
      </x:c>
    </x:row>
    <x:row r="137">
      <x:c r="A137" s="42">
        <x:f>IF(H137="","",IF(COUNTIF($H$5:H137,H137)&gt;1,"",InputPlayers!A138))</x:f>
      </x:c>
      <x:c r="B137" s="43">
        <x:f>IF($A137="","",InputPlayers!B138)</x:f>
      </x:c>
      <x:c r="C137" s="43">
        <x:f>IF($A137="","",InputPlayers!C138)</x:f>
      </x:c>
      <x:c r="D137" s="44">
        <x:f>IF($A137="","",InputPlayers!D138)</x:f>
      </x:c>
      <x:c r="E137" s="44">
        <x:f>IF($A137="","",InputPlayers!E138)</x:f>
      </x:c>
      <x:c r="F137" s="44">
        <x:f>IF($A137="","",COUNTIFS(InputPlayers!$A$6:$A$305,$A137,InputPlayers!$B$6:$B$305,$B137,InputPlayers!$C$6:$C$305,$C137,InputPlayers!$D$6:$D$305,$D137,InputPlayers!$O$6:$O$305,"Да"))</x:f>
      </x:c>
      <x:c r="G137" s="44">
        <x:f>IF($A137="","",SUMIFS(InputPlayers!$N$6:$N$305,InputPlayers!$A$6:$A$305,$A137,InputPlayers!$B$6:$B$305,$B137,InputPlayers!$C$6:$C$305,$C137,InputPlayers!$D$6:$D$305,$D137,InputPlayers!$O$6:$O$305,"Да"))</x:f>
      </x:c>
      <x:c r="H137" s="44">
        <x:f>IF(InputPlayers!A138="","",TEXT(InputPlayers!A138,"dd.mm.yyyy")&amp;"|"&amp;InputPlayers!B138&amp;"|"&amp;InputPlayers!C138&amp;"|"&amp;InputPlayers!D138)</x:f>
      </x:c>
    </x:row>
    <x:row r="138">
      <x:c r="A138" s="42">
        <x:f>IF(H138="","",IF(COUNTIF($H$5:H138,H138)&gt;1,"",InputPlayers!A139))</x:f>
      </x:c>
      <x:c r="B138" s="43">
        <x:f>IF($A138="","",InputPlayers!B139)</x:f>
      </x:c>
      <x:c r="C138" s="43">
        <x:f>IF($A138="","",InputPlayers!C139)</x:f>
      </x:c>
      <x:c r="D138" s="44">
        <x:f>IF($A138="","",InputPlayers!D139)</x:f>
      </x:c>
      <x:c r="E138" s="44">
        <x:f>IF($A138="","",InputPlayers!E139)</x:f>
      </x:c>
      <x:c r="F138" s="44">
        <x:f>IF($A138="","",COUNTIFS(InputPlayers!$A$6:$A$305,$A138,InputPlayers!$B$6:$B$305,$B138,InputPlayers!$C$6:$C$305,$C138,InputPlayers!$D$6:$D$305,$D138,InputPlayers!$O$6:$O$305,"Да"))</x:f>
      </x:c>
      <x:c r="G138" s="44">
        <x:f>IF($A138="","",SUMIFS(InputPlayers!$N$6:$N$305,InputPlayers!$A$6:$A$305,$A138,InputPlayers!$B$6:$B$305,$B138,InputPlayers!$C$6:$C$305,$C138,InputPlayers!$D$6:$D$305,$D138,InputPlayers!$O$6:$O$305,"Да"))</x:f>
      </x:c>
      <x:c r="H138" s="44">
        <x:f>IF(InputPlayers!A139="","",TEXT(InputPlayers!A139,"dd.mm.yyyy")&amp;"|"&amp;InputPlayers!B139&amp;"|"&amp;InputPlayers!C139&amp;"|"&amp;InputPlayers!D139)</x:f>
      </x:c>
    </x:row>
    <x:row r="139">
      <x:c r="A139" s="42">
        <x:f>IF(H139="","",IF(COUNTIF($H$5:H139,H139)&gt;1,"",InputPlayers!A140))</x:f>
      </x:c>
      <x:c r="B139" s="43">
        <x:f>IF($A139="","",InputPlayers!B140)</x:f>
      </x:c>
      <x:c r="C139" s="43">
        <x:f>IF($A139="","",InputPlayers!C140)</x:f>
      </x:c>
      <x:c r="D139" s="44">
        <x:f>IF($A139="","",InputPlayers!D140)</x:f>
      </x:c>
      <x:c r="E139" s="44">
        <x:f>IF($A139="","",InputPlayers!E140)</x:f>
      </x:c>
      <x:c r="F139" s="44">
        <x:f>IF($A139="","",COUNTIFS(InputPlayers!$A$6:$A$305,$A139,InputPlayers!$B$6:$B$305,$B139,InputPlayers!$C$6:$C$305,$C139,InputPlayers!$D$6:$D$305,$D139,InputPlayers!$O$6:$O$305,"Да"))</x:f>
      </x:c>
      <x:c r="G139" s="44">
        <x:f>IF($A139="","",SUMIFS(InputPlayers!$N$6:$N$305,InputPlayers!$A$6:$A$305,$A139,InputPlayers!$B$6:$B$305,$B139,InputPlayers!$C$6:$C$305,$C139,InputPlayers!$D$6:$D$305,$D139,InputPlayers!$O$6:$O$305,"Да"))</x:f>
      </x:c>
      <x:c r="H139" s="44">
        <x:f>IF(InputPlayers!A140="","",TEXT(InputPlayers!A140,"dd.mm.yyyy")&amp;"|"&amp;InputPlayers!B140&amp;"|"&amp;InputPlayers!C140&amp;"|"&amp;InputPlayers!D140)</x:f>
      </x:c>
    </x:row>
    <x:row r="140">
      <x:c r="A140" s="42">
        <x:f>IF(H140="","",IF(COUNTIF($H$5:H140,H140)&gt;1,"",InputPlayers!A141))</x:f>
      </x:c>
      <x:c r="B140" s="43">
        <x:f>IF($A140="","",InputPlayers!B141)</x:f>
      </x:c>
      <x:c r="C140" s="43">
        <x:f>IF($A140="","",InputPlayers!C141)</x:f>
      </x:c>
      <x:c r="D140" s="44">
        <x:f>IF($A140="","",InputPlayers!D141)</x:f>
      </x:c>
      <x:c r="E140" s="44">
        <x:f>IF($A140="","",InputPlayers!E141)</x:f>
      </x:c>
      <x:c r="F140" s="44">
        <x:f>IF($A140="","",COUNTIFS(InputPlayers!$A$6:$A$305,$A140,InputPlayers!$B$6:$B$305,$B140,InputPlayers!$C$6:$C$305,$C140,InputPlayers!$D$6:$D$305,$D140,InputPlayers!$O$6:$O$305,"Да"))</x:f>
      </x:c>
      <x:c r="G140" s="44">
        <x:f>IF($A140="","",SUMIFS(InputPlayers!$N$6:$N$305,InputPlayers!$A$6:$A$305,$A140,InputPlayers!$B$6:$B$305,$B140,InputPlayers!$C$6:$C$305,$C140,InputPlayers!$D$6:$D$305,$D140,InputPlayers!$O$6:$O$305,"Да"))</x:f>
      </x:c>
      <x:c r="H140" s="44">
        <x:f>IF(InputPlayers!A141="","",TEXT(InputPlayers!A141,"dd.mm.yyyy")&amp;"|"&amp;InputPlayers!B141&amp;"|"&amp;InputPlayers!C141&amp;"|"&amp;InputPlayers!D141)</x:f>
      </x:c>
    </x:row>
    <x:row r="141">
      <x:c r="A141" s="42">
        <x:f>IF(H141="","",IF(COUNTIF($H$5:H141,H141)&gt;1,"",InputPlayers!A142))</x:f>
      </x:c>
      <x:c r="B141" s="43">
        <x:f>IF($A141="","",InputPlayers!B142)</x:f>
      </x:c>
      <x:c r="C141" s="43">
        <x:f>IF($A141="","",InputPlayers!C142)</x:f>
      </x:c>
      <x:c r="D141" s="44">
        <x:f>IF($A141="","",InputPlayers!D142)</x:f>
      </x:c>
      <x:c r="E141" s="44">
        <x:f>IF($A141="","",InputPlayers!E142)</x:f>
      </x:c>
      <x:c r="F141" s="44">
        <x:f>IF($A141="","",COUNTIFS(InputPlayers!$A$6:$A$305,$A141,InputPlayers!$B$6:$B$305,$B141,InputPlayers!$C$6:$C$305,$C141,InputPlayers!$D$6:$D$305,$D141,InputPlayers!$O$6:$O$305,"Да"))</x:f>
      </x:c>
      <x:c r="G141" s="44">
        <x:f>IF($A141="","",SUMIFS(InputPlayers!$N$6:$N$305,InputPlayers!$A$6:$A$305,$A141,InputPlayers!$B$6:$B$305,$B141,InputPlayers!$C$6:$C$305,$C141,InputPlayers!$D$6:$D$305,$D141,InputPlayers!$O$6:$O$305,"Да"))</x:f>
      </x:c>
      <x:c r="H141" s="44">
        <x:f>IF(InputPlayers!A142="","",TEXT(InputPlayers!A142,"dd.mm.yyyy")&amp;"|"&amp;InputPlayers!B142&amp;"|"&amp;InputPlayers!C142&amp;"|"&amp;InputPlayers!D142)</x:f>
      </x:c>
    </x:row>
    <x:row r="142">
      <x:c r="A142" s="42">
        <x:f>IF(H142="","",IF(COUNTIF($H$5:H142,H142)&gt;1,"",InputPlayers!A143))</x:f>
      </x:c>
      <x:c r="B142" s="43">
        <x:f>IF($A142="","",InputPlayers!B143)</x:f>
      </x:c>
      <x:c r="C142" s="43">
        <x:f>IF($A142="","",InputPlayers!C143)</x:f>
      </x:c>
      <x:c r="D142" s="44">
        <x:f>IF($A142="","",InputPlayers!D143)</x:f>
      </x:c>
      <x:c r="E142" s="44">
        <x:f>IF($A142="","",InputPlayers!E143)</x:f>
      </x:c>
      <x:c r="F142" s="44">
        <x:f>IF($A142="","",COUNTIFS(InputPlayers!$A$6:$A$305,$A142,InputPlayers!$B$6:$B$305,$B142,InputPlayers!$C$6:$C$305,$C142,InputPlayers!$D$6:$D$305,$D142,InputPlayers!$O$6:$O$305,"Да"))</x:f>
      </x:c>
      <x:c r="G142" s="44">
        <x:f>IF($A142="","",SUMIFS(InputPlayers!$N$6:$N$305,InputPlayers!$A$6:$A$305,$A142,InputPlayers!$B$6:$B$305,$B142,InputPlayers!$C$6:$C$305,$C142,InputPlayers!$D$6:$D$305,$D142,InputPlayers!$O$6:$O$305,"Да"))</x:f>
      </x:c>
      <x:c r="H142" s="44">
        <x:f>IF(InputPlayers!A143="","",TEXT(InputPlayers!A143,"dd.mm.yyyy")&amp;"|"&amp;InputPlayers!B143&amp;"|"&amp;InputPlayers!C143&amp;"|"&amp;InputPlayers!D143)</x:f>
      </x:c>
    </x:row>
    <x:row r="143">
      <x:c r="A143" s="42">
        <x:f>IF(H143="","",IF(COUNTIF($H$5:H143,H143)&gt;1,"",InputPlayers!A144))</x:f>
      </x:c>
      <x:c r="B143" s="43">
        <x:f>IF($A143="","",InputPlayers!B144)</x:f>
      </x:c>
      <x:c r="C143" s="43">
        <x:f>IF($A143="","",InputPlayers!C144)</x:f>
      </x:c>
      <x:c r="D143" s="44">
        <x:f>IF($A143="","",InputPlayers!D144)</x:f>
      </x:c>
      <x:c r="E143" s="44">
        <x:f>IF($A143="","",InputPlayers!E144)</x:f>
      </x:c>
      <x:c r="F143" s="44">
        <x:f>IF($A143="","",COUNTIFS(InputPlayers!$A$6:$A$305,$A143,InputPlayers!$B$6:$B$305,$B143,InputPlayers!$C$6:$C$305,$C143,InputPlayers!$D$6:$D$305,$D143,InputPlayers!$O$6:$O$305,"Да"))</x:f>
      </x:c>
      <x:c r="G143" s="44">
        <x:f>IF($A143="","",SUMIFS(InputPlayers!$N$6:$N$305,InputPlayers!$A$6:$A$305,$A143,InputPlayers!$B$6:$B$305,$B143,InputPlayers!$C$6:$C$305,$C143,InputPlayers!$D$6:$D$305,$D143,InputPlayers!$O$6:$O$305,"Да"))</x:f>
      </x:c>
      <x:c r="H143" s="44">
        <x:f>IF(InputPlayers!A144="","",TEXT(InputPlayers!A144,"dd.mm.yyyy")&amp;"|"&amp;InputPlayers!B144&amp;"|"&amp;InputPlayers!C144&amp;"|"&amp;InputPlayers!D144)</x:f>
      </x:c>
    </x:row>
    <x:row r="144">
      <x:c r="A144" s="42">
        <x:f>IF(H144="","",IF(COUNTIF($H$5:H144,H144)&gt;1,"",InputPlayers!A145))</x:f>
      </x:c>
      <x:c r="B144" s="43">
        <x:f>IF($A144="","",InputPlayers!B145)</x:f>
      </x:c>
      <x:c r="C144" s="43">
        <x:f>IF($A144="","",InputPlayers!C145)</x:f>
      </x:c>
      <x:c r="D144" s="44">
        <x:f>IF($A144="","",InputPlayers!D145)</x:f>
      </x:c>
      <x:c r="E144" s="44">
        <x:f>IF($A144="","",InputPlayers!E145)</x:f>
      </x:c>
      <x:c r="F144" s="44">
        <x:f>IF($A144="","",COUNTIFS(InputPlayers!$A$6:$A$305,$A144,InputPlayers!$B$6:$B$305,$B144,InputPlayers!$C$6:$C$305,$C144,InputPlayers!$D$6:$D$305,$D144,InputPlayers!$O$6:$O$305,"Да"))</x:f>
      </x:c>
      <x:c r="G144" s="44">
        <x:f>IF($A144="","",SUMIFS(InputPlayers!$N$6:$N$305,InputPlayers!$A$6:$A$305,$A144,InputPlayers!$B$6:$B$305,$B144,InputPlayers!$C$6:$C$305,$C144,InputPlayers!$D$6:$D$305,$D144,InputPlayers!$O$6:$O$305,"Да"))</x:f>
      </x:c>
      <x:c r="H144" s="44">
        <x:f>IF(InputPlayers!A145="","",TEXT(InputPlayers!A145,"dd.mm.yyyy")&amp;"|"&amp;InputPlayers!B145&amp;"|"&amp;InputPlayers!C145&amp;"|"&amp;InputPlayers!D145)</x:f>
      </x:c>
    </x:row>
    <x:row r="145">
      <x:c r="A145" s="42">
        <x:f>IF(H145="","",IF(COUNTIF($H$5:H145,H145)&gt;1,"",InputPlayers!A146))</x:f>
      </x:c>
      <x:c r="B145" s="43">
        <x:f>IF($A145="","",InputPlayers!B146)</x:f>
      </x:c>
      <x:c r="C145" s="43">
        <x:f>IF($A145="","",InputPlayers!C146)</x:f>
      </x:c>
      <x:c r="D145" s="44">
        <x:f>IF($A145="","",InputPlayers!D146)</x:f>
      </x:c>
      <x:c r="E145" s="44">
        <x:f>IF($A145="","",InputPlayers!E146)</x:f>
      </x:c>
      <x:c r="F145" s="44">
        <x:f>IF($A145="","",COUNTIFS(InputPlayers!$A$6:$A$305,$A145,InputPlayers!$B$6:$B$305,$B145,InputPlayers!$C$6:$C$305,$C145,InputPlayers!$D$6:$D$305,$D145,InputPlayers!$O$6:$O$305,"Да"))</x:f>
      </x:c>
      <x:c r="G145" s="44">
        <x:f>IF($A145="","",SUMIFS(InputPlayers!$N$6:$N$305,InputPlayers!$A$6:$A$305,$A145,InputPlayers!$B$6:$B$305,$B145,InputPlayers!$C$6:$C$305,$C145,InputPlayers!$D$6:$D$305,$D145,InputPlayers!$O$6:$O$305,"Да"))</x:f>
      </x:c>
      <x:c r="H145" s="44">
        <x:f>IF(InputPlayers!A146="","",TEXT(InputPlayers!A146,"dd.mm.yyyy")&amp;"|"&amp;InputPlayers!B146&amp;"|"&amp;InputPlayers!C146&amp;"|"&amp;InputPlayers!D146)</x:f>
      </x:c>
    </x:row>
    <x:row r="146">
      <x:c r="A146" s="42">
        <x:f>IF(H146="","",IF(COUNTIF($H$5:H146,H146)&gt;1,"",InputPlayers!A147))</x:f>
      </x:c>
      <x:c r="B146" s="43">
        <x:f>IF($A146="","",InputPlayers!B147)</x:f>
      </x:c>
      <x:c r="C146" s="43">
        <x:f>IF($A146="","",InputPlayers!C147)</x:f>
      </x:c>
      <x:c r="D146" s="44">
        <x:f>IF($A146="","",InputPlayers!D147)</x:f>
      </x:c>
      <x:c r="E146" s="44">
        <x:f>IF($A146="","",InputPlayers!E147)</x:f>
      </x:c>
      <x:c r="F146" s="44">
        <x:f>IF($A146="","",COUNTIFS(InputPlayers!$A$6:$A$305,$A146,InputPlayers!$B$6:$B$305,$B146,InputPlayers!$C$6:$C$305,$C146,InputPlayers!$D$6:$D$305,$D146,InputPlayers!$O$6:$O$305,"Да"))</x:f>
      </x:c>
      <x:c r="G146" s="44">
        <x:f>IF($A146="","",SUMIFS(InputPlayers!$N$6:$N$305,InputPlayers!$A$6:$A$305,$A146,InputPlayers!$B$6:$B$305,$B146,InputPlayers!$C$6:$C$305,$C146,InputPlayers!$D$6:$D$305,$D146,InputPlayers!$O$6:$O$305,"Да"))</x:f>
      </x:c>
      <x:c r="H146" s="44">
        <x:f>IF(InputPlayers!A147="","",TEXT(InputPlayers!A147,"dd.mm.yyyy")&amp;"|"&amp;InputPlayers!B147&amp;"|"&amp;InputPlayers!C147&amp;"|"&amp;InputPlayers!D147)</x:f>
      </x:c>
    </x:row>
    <x:row r="147">
      <x:c r="A147" s="42">
        <x:f>IF(H147="","",IF(COUNTIF($H$5:H147,H147)&gt;1,"",InputPlayers!A148))</x:f>
      </x:c>
      <x:c r="B147" s="43">
        <x:f>IF($A147="","",InputPlayers!B148)</x:f>
      </x:c>
      <x:c r="C147" s="43">
        <x:f>IF($A147="","",InputPlayers!C148)</x:f>
      </x:c>
      <x:c r="D147" s="44">
        <x:f>IF($A147="","",InputPlayers!D148)</x:f>
      </x:c>
      <x:c r="E147" s="44">
        <x:f>IF($A147="","",InputPlayers!E148)</x:f>
      </x:c>
      <x:c r="F147" s="44">
        <x:f>IF($A147="","",COUNTIFS(InputPlayers!$A$6:$A$305,$A147,InputPlayers!$B$6:$B$305,$B147,InputPlayers!$C$6:$C$305,$C147,InputPlayers!$D$6:$D$305,$D147,InputPlayers!$O$6:$O$305,"Да"))</x:f>
      </x:c>
      <x:c r="G147" s="44">
        <x:f>IF($A147="","",SUMIFS(InputPlayers!$N$6:$N$305,InputPlayers!$A$6:$A$305,$A147,InputPlayers!$B$6:$B$305,$B147,InputPlayers!$C$6:$C$305,$C147,InputPlayers!$D$6:$D$305,$D147,InputPlayers!$O$6:$O$305,"Да"))</x:f>
      </x:c>
      <x:c r="H147" s="44">
        <x:f>IF(InputPlayers!A148="","",TEXT(InputPlayers!A148,"dd.mm.yyyy")&amp;"|"&amp;InputPlayers!B148&amp;"|"&amp;InputPlayers!C148&amp;"|"&amp;InputPlayers!D148)</x:f>
      </x:c>
    </x:row>
    <x:row r="148">
      <x:c r="A148" s="42">
        <x:f>IF(H148="","",IF(COUNTIF($H$5:H148,H148)&gt;1,"",InputPlayers!A149))</x:f>
      </x:c>
      <x:c r="B148" s="43">
        <x:f>IF($A148="","",InputPlayers!B149)</x:f>
      </x:c>
      <x:c r="C148" s="43">
        <x:f>IF($A148="","",InputPlayers!C149)</x:f>
      </x:c>
      <x:c r="D148" s="44">
        <x:f>IF($A148="","",InputPlayers!D149)</x:f>
      </x:c>
      <x:c r="E148" s="44">
        <x:f>IF($A148="","",InputPlayers!E149)</x:f>
      </x:c>
      <x:c r="F148" s="44">
        <x:f>IF($A148="","",COUNTIFS(InputPlayers!$A$6:$A$305,$A148,InputPlayers!$B$6:$B$305,$B148,InputPlayers!$C$6:$C$305,$C148,InputPlayers!$D$6:$D$305,$D148,InputPlayers!$O$6:$O$305,"Да"))</x:f>
      </x:c>
      <x:c r="G148" s="44">
        <x:f>IF($A148="","",SUMIFS(InputPlayers!$N$6:$N$305,InputPlayers!$A$6:$A$305,$A148,InputPlayers!$B$6:$B$305,$B148,InputPlayers!$C$6:$C$305,$C148,InputPlayers!$D$6:$D$305,$D148,InputPlayers!$O$6:$O$305,"Да"))</x:f>
      </x:c>
      <x:c r="H148" s="44">
        <x:f>IF(InputPlayers!A149="","",TEXT(InputPlayers!A149,"dd.mm.yyyy")&amp;"|"&amp;InputPlayers!B149&amp;"|"&amp;InputPlayers!C149&amp;"|"&amp;InputPlayers!D149)</x:f>
      </x:c>
    </x:row>
    <x:row r="149">
      <x:c r="A149" s="42">
        <x:f>IF(H149="","",IF(COUNTIF($H$5:H149,H149)&gt;1,"",InputPlayers!A150))</x:f>
      </x:c>
      <x:c r="B149" s="43">
        <x:f>IF($A149="","",InputPlayers!B150)</x:f>
      </x:c>
      <x:c r="C149" s="43">
        <x:f>IF($A149="","",InputPlayers!C150)</x:f>
      </x:c>
      <x:c r="D149" s="44">
        <x:f>IF($A149="","",InputPlayers!D150)</x:f>
      </x:c>
      <x:c r="E149" s="44">
        <x:f>IF($A149="","",InputPlayers!E150)</x:f>
      </x:c>
      <x:c r="F149" s="44">
        <x:f>IF($A149="","",COUNTIFS(InputPlayers!$A$6:$A$305,$A149,InputPlayers!$B$6:$B$305,$B149,InputPlayers!$C$6:$C$305,$C149,InputPlayers!$D$6:$D$305,$D149,InputPlayers!$O$6:$O$305,"Да"))</x:f>
      </x:c>
      <x:c r="G149" s="44">
        <x:f>IF($A149="","",SUMIFS(InputPlayers!$N$6:$N$305,InputPlayers!$A$6:$A$305,$A149,InputPlayers!$B$6:$B$305,$B149,InputPlayers!$C$6:$C$305,$C149,InputPlayers!$D$6:$D$305,$D149,InputPlayers!$O$6:$O$305,"Да"))</x:f>
      </x:c>
      <x:c r="H149" s="44">
        <x:f>IF(InputPlayers!A150="","",TEXT(InputPlayers!A150,"dd.mm.yyyy")&amp;"|"&amp;InputPlayers!B150&amp;"|"&amp;InputPlayers!C150&amp;"|"&amp;InputPlayers!D150)</x:f>
      </x:c>
    </x:row>
    <x:row r="150">
      <x:c r="A150" s="42">
        <x:f>IF(H150="","",IF(COUNTIF($H$5:H150,H150)&gt;1,"",InputPlayers!A151))</x:f>
      </x:c>
      <x:c r="B150" s="43">
        <x:f>IF($A150="","",InputPlayers!B151)</x:f>
      </x:c>
      <x:c r="C150" s="43">
        <x:f>IF($A150="","",InputPlayers!C151)</x:f>
      </x:c>
      <x:c r="D150" s="44">
        <x:f>IF($A150="","",InputPlayers!D151)</x:f>
      </x:c>
      <x:c r="E150" s="44">
        <x:f>IF($A150="","",InputPlayers!E151)</x:f>
      </x:c>
      <x:c r="F150" s="44">
        <x:f>IF($A150="","",COUNTIFS(InputPlayers!$A$6:$A$305,$A150,InputPlayers!$B$6:$B$305,$B150,InputPlayers!$C$6:$C$305,$C150,InputPlayers!$D$6:$D$305,$D150,InputPlayers!$O$6:$O$305,"Да"))</x:f>
      </x:c>
      <x:c r="G150" s="44">
        <x:f>IF($A150="","",SUMIFS(InputPlayers!$N$6:$N$305,InputPlayers!$A$6:$A$305,$A150,InputPlayers!$B$6:$B$305,$B150,InputPlayers!$C$6:$C$305,$C150,InputPlayers!$D$6:$D$305,$D150,InputPlayers!$O$6:$O$305,"Да"))</x:f>
      </x:c>
      <x:c r="H150" s="44">
        <x:f>IF(InputPlayers!A151="","",TEXT(InputPlayers!A151,"dd.mm.yyyy")&amp;"|"&amp;InputPlayers!B151&amp;"|"&amp;InputPlayers!C151&amp;"|"&amp;InputPlayers!D151)</x:f>
      </x:c>
    </x:row>
    <x:row r="151">
      <x:c r="A151" s="42">
        <x:f>IF(H151="","",IF(COUNTIF($H$5:H151,H151)&gt;1,"",InputPlayers!A152))</x:f>
      </x:c>
      <x:c r="B151" s="43">
        <x:f>IF($A151="","",InputPlayers!B152)</x:f>
      </x:c>
      <x:c r="C151" s="43">
        <x:f>IF($A151="","",InputPlayers!C152)</x:f>
      </x:c>
      <x:c r="D151" s="44">
        <x:f>IF($A151="","",InputPlayers!D152)</x:f>
      </x:c>
      <x:c r="E151" s="44">
        <x:f>IF($A151="","",InputPlayers!E152)</x:f>
      </x:c>
      <x:c r="F151" s="44">
        <x:f>IF($A151="","",COUNTIFS(InputPlayers!$A$6:$A$305,$A151,InputPlayers!$B$6:$B$305,$B151,InputPlayers!$C$6:$C$305,$C151,InputPlayers!$D$6:$D$305,$D151,InputPlayers!$O$6:$O$305,"Да"))</x:f>
      </x:c>
      <x:c r="G151" s="44">
        <x:f>IF($A151="","",SUMIFS(InputPlayers!$N$6:$N$305,InputPlayers!$A$6:$A$305,$A151,InputPlayers!$B$6:$B$305,$B151,InputPlayers!$C$6:$C$305,$C151,InputPlayers!$D$6:$D$305,$D151,InputPlayers!$O$6:$O$305,"Да"))</x:f>
      </x:c>
      <x:c r="H151" s="44">
        <x:f>IF(InputPlayers!A152="","",TEXT(InputPlayers!A152,"dd.mm.yyyy")&amp;"|"&amp;InputPlayers!B152&amp;"|"&amp;InputPlayers!C152&amp;"|"&amp;InputPlayers!D152)</x:f>
      </x:c>
    </x:row>
    <x:row r="152">
      <x:c r="A152" s="42">
        <x:f>IF(H152="","",IF(COUNTIF($H$5:H152,H152)&gt;1,"",InputPlayers!A153))</x:f>
      </x:c>
      <x:c r="B152" s="43">
        <x:f>IF($A152="","",InputPlayers!B153)</x:f>
      </x:c>
      <x:c r="C152" s="43">
        <x:f>IF($A152="","",InputPlayers!C153)</x:f>
      </x:c>
      <x:c r="D152" s="44">
        <x:f>IF($A152="","",InputPlayers!D153)</x:f>
      </x:c>
      <x:c r="E152" s="44">
        <x:f>IF($A152="","",InputPlayers!E153)</x:f>
      </x:c>
      <x:c r="F152" s="44">
        <x:f>IF($A152="","",COUNTIFS(InputPlayers!$A$6:$A$305,$A152,InputPlayers!$B$6:$B$305,$B152,InputPlayers!$C$6:$C$305,$C152,InputPlayers!$D$6:$D$305,$D152,InputPlayers!$O$6:$O$305,"Да"))</x:f>
      </x:c>
      <x:c r="G152" s="44">
        <x:f>IF($A152="","",SUMIFS(InputPlayers!$N$6:$N$305,InputPlayers!$A$6:$A$305,$A152,InputPlayers!$B$6:$B$305,$B152,InputPlayers!$C$6:$C$305,$C152,InputPlayers!$D$6:$D$305,$D152,InputPlayers!$O$6:$O$305,"Да"))</x:f>
      </x:c>
      <x:c r="H152" s="44">
        <x:f>IF(InputPlayers!A153="","",TEXT(InputPlayers!A153,"dd.mm.yyyy")&amp;"|"&amp;InputPlayers!B153&amp;"|"&amp;InputPlayers!C153&amp;"|"&amp;InputPlayers!D153)</x:f>
      </x:c>
    </x:row>
    <x:row r="153">
      <x:c r="A153" s="42">
        <x:f>IF(H153="","",IF(COUNTIF($H$5:H153,H153)&gt;1,"",InputPlayers!A154))</x:f>
      </x:c>
      <x:c r="B153" s="43">
        <x:f>IF($A153="","",InputPlayers!B154)</x:f>
      </x:c>
      <x:c r="C153" s="43">
        <x:f>IF($A153="","",InputPlayers!C154)</x:f>
      </x:c>
      <x:c r="D153" s="44">
        <x:f>IF($A153="","",InputPlayers!D154)</x:f>
      </x:c>
      <x:c r="E153" s="44">
        <x:f>IF($A153="","",InputPlayers!E154)</x:f>
      </x:c>
      <x:c r="F153" s="44">
        <x:f>IF($A153="","",COUNTIFS(InputPlayers!$A$6:$A$305,$A153,InputPlayers!$B$6:$B$305,$B153,InputPlayers!$C$6:$C$305,$C153,InputPlayers!$D$6:$D$305,$D153,InputPlayers!$O$6:$O$305,"Да"))</x:f>
      </x:c>
      <x:c r="G153" s="44">
        <x:f>IF($A153="","",SUMIFS(InputPlayers!$N$6:$N$305,InputPlayers!$A$6:$A$305,$A153,InputPlayers!$B$6:$B$305,$B153,InputPlayers!$C$6:$C$305,$C153,InputPlayers!$D$6:$D$305,$D153,InputPlayers!$O$6:$O$305,"Да"))</x:f>
      </x:c>
      <x:c r="H153" s="44">
        <x:f>IF(InputPlayers!A154="","",TEXT(InputPlayers!A154,"dd.mm.yyyy")&amp;"|"&amp;InputPlayers!B154&amp;"|"&amp;InputPlayers!C154&amp;"|"&amp;InputPlayers!D154)</x:f>
      </x:c>
    </x:row>
    <x:row r="154">
      <x:c r="A154" s="42">
        <x:f>IF(H154="","",IF(COUNTIF($H$5:H154,H154)&gt;1,"",InputPlayers!A155))</x:f>
      </x:c>
      <x:c r="B154" s="43">
        <x:f>IF($A154="","",InputPlayers!B155)</x:f>
      </x:c>
      <x:c r="C154" s="43">
        <x:f>IF($A154="","",InputPlayers!C155)</x:f>
      </x:c>
      <x:c r="D154" s="44">
        <x:f>IF($A154="","",InputPlayers!D155)</x:f>
      </x:c>
      <x:c r="E154" s="44">
        <x:f>IF($A154="","",InputPlayers!E155)</x:f>
      </x:c>
      <x:c r="F154" s="44">
        <x:f>IF($A154="","",COUNTIFS(InputPlayers!$A$6:$A$305,$A154,InputPlayers!$B$6:$B$305,$B154,InputPlayers!$C$6:$C$305,$C154,InputPlayers!$D$6:$D$305,$D154,InputPlayers!$O$6:$O$305,"Да"))</x:f>
      </x:c>
      <x:c r="G154" s="44">
        <x:f>IF($A154="","",SUMIFS(InputPlayers!$N$6:$N$305,InputPlayers!$A$6:$A$305,$A154,InputPlayers!$B$6:$B$305,$B154,InputPlayers!$C$6:$C$305,$C154,InputPlayers!$D$6:$D$305,$D154,InputPlayers!$O$6:$O$305,"Да"))</x:f>
      </x:c>
      <x:c r="H154" s="44">
        <x:f>IF(InputPlayers!A155="","",TEXT(InputPlayers!A155,"dd.mm.yyyy")&amp;"|"&amp;InputPlayers!B155&amp;"|"&amp;InputPlayers!C155&amp;"|"&amp;InputPlayers!D155)</x:f>
      </x:c>
    </x:row>
    <x:row r="155">
      <x:c r="A155" s="42">
        <x:f>IF(H155="","",IF(COUNTIF($H$5:H155,H155)&gt;1,"",InputPlayers!A156))</x:f>
      </x:c>
      <x:c r="B155" s="43">
        <x:f>IF($A155="","",InputPlayers!B156)</x:f>
      </x:c>
      <x:c r="C155" s="43">
        <x:f>IF($A155="","",InputPlayers!C156)</x:f>
      </x:c>
      <x:c r="D155" s="44">
        <x:f>IF($A155="","",InputPlayers!D156)</x:f>
      </x:c>
      <x:c r="E155" s="44">
        <x:f>IF($A155="","",InputPlayers!E156)</x:f>
      </x:c>
      <x:c r="F155" s="44">
        <x:f>IF($A155="","",COUNTIFS(InputPlayers!$A$6:$A$305,$A155,InputPlayers!$B$6:$B$305,$B155,InputPlayers!$C$6:$C$305,$C155,InputPlayers!$D$6:$D$305,$D155,InputPlayers!$O$6:$O$305,"Да"))</x:f>
      </x:c>
      <x:c r="G155" s="44">
        <x:f>IF($A155="","",SUMIFS(InputPlayers!$N$6:$N$305,InputPlayers!$A$6:$A$305,$A155,InputPlayers!$B$6:$B$305,$B155,InputPlayers!$C$6:$C$305,$C155,InputPlayers!$D$6:$D$305,$D155,InputPlayers!$O$6:$O$305,"Да"))</x:f>
      </x:c>
      <x:c r="H155" s="44">
        <x:f>IF(InputPlayers!A156="","",TEXT(InputPlayers!A156,"dd.mm.yyyy")&amp;"|"&amp;InputPlayers!B156&amp;"|"&amp;InputPlayers!C156&amp;"|"&amp;InputPlayers!D156)</x:f>
      </x:c>
    </x:row>
    <x:row r="156">
      <x:c r="A156" s="42">
        <x:f>IF(H156="","",IF(COUNTIF($H$5:H156,H156)&gt;1,"",InputPlayers!A157))</x:f>
      </x:c>
      <x:c r="B156" s="43">
        <x:f>IF($A156="","",InputPlayers!B157)</x:f>
      </x:c>
      <x:c r="C156" s="43">
        <x:f>IF($A156="","",InputPlayers!C157)</x:f>
      </x:c>
      <x:c r="D156" s="44">
        <x:f>IF($A156="","",InputPlayers!D157)</x:f>
      </x:c>
      <x:c r="E156" s="44">
        <x:f>IF($A156="","",InputPlayers!E157)</x:f>
      </x:c>
      <x:c r="F156" s="44">
        <x:f>IF($A156="","",COUNTIFS(InputPlayers!$A$6:$A$305,$A156,InputPlayers!$B$6:$B$305,$B156,InputPlayers!$C$6:$C$305,$C156,InputPlayers!$D$6:$D$305,$D156,InputPlayers!$O$6:$O$305,"Да"))</x:f>
      </x:c>
      <x:c r="G156" s="44">
        <x:f>IF($A156="","",SUMIFS(InputPlayers!$N$6:$N$305,InputPlayers!$A$6:$A$305,$A156,InputPlayers!$B$6:$B$305,$B156,InputPlayers!$C$6:$C$305,$C156,InputPlayers!$D$6:$D$305,$D156,InputPlayers!$O$6:$O$305,"Да"))</x:f>
      </x:c>
      <x:c r="H156" s="44">
        <x:f>IF(InputPlayers!A157="","",TEXT(InputPlayers!A157,"dd.mm.yyyy")&amp;"|"&amp;InputPlayers!B157&amp;"|"&amp;InputPlayers!C157&amp;"|"&amp;InputPlayers!D157)</x:f>
      </x:c>
    </x:row>
    <x:row r="157">
      <x:c r="A157" s="42">
        <x:f>IF(H157="","",IF(COUNTIF($H$5:H157,H157)&gt;1,"",InputPlayers!A158))</x:f>
      </x:c>
      <x:c r="B157" s="43">
        <x:f>IF($A157="","",InputPlayers!B158)</x:f>
      </x:c>
      <x:c r="C157" s="43">
        <x:f>IF($A157="","",InputPlayers!C158)</x:f>
      </x:c>
      <x:c r="D157" s="44">
        <x:f>IF($A157="","",InputPlayers!D158)</x:f>
      </x:c>
      <x:c r="E157" s="44">
        <x:f>IF($A157="","",InputPlayers!E158)</x:f>
      </x:c>
      <x:c r="F157" s="44">
        <x:f>IF($A157="","",COUNTIFS(InputPlayers!$A$6:$A$305,$A157,InputPlayers!$B$6:$B$305,$B157,InputPlayers!$C$6:$C$305,$C157,InputPlayers!$D$6:$D$305,$D157,InputPlayers!$O$6:$O$305,"Да"))</x:f>
      </x:c>
      <x:c r="G157" s="44">
        <x:f>IF($A157="","",SUMIFS(InputPlayers!$N$6:$N$305,InputPlayers!$A$6:$A$305,$A157,InputPlayers!$B$6:$B$305,$B157,InputPlayers!$C$6:$C$305,$C157,InputPlayers!$D$6:$D$305,$D157,InputPlayers!$O$6:$O$305,"Да"))</x:f>
      </x:c>
      <x:c r="H157" s="44">
        <x:f>IF(InputPlayers!A158="","",TEXT(InputPlayers!A158,"dd.mm.yyyy")&amp;"|"&amp;InputPlayers!B158&amp;"|"&amp;InputPlayers!C158&amp;"|"&amp;InputPlayers!D158)</x:f>
      </x:c>
    </x:row>
    <x:row r="158">
      <x:c r="A158" s="42">
        <x:f>IF(H158="","",IF(COUNTIF($H$5:H158,H158)&gt;1,"",InputPlayers!A159))</x:f>
      </x:c>
      <x:c r="B158" s="43">
        <x:f>IF($A158="","",InputPlayers!B159)</x:f>
      </x:c>
      <x:c r="C158" s="43">
        <x:f>IF($A158="","",InputPlayers!C159)</x:f>
      </x:c>
      <x:c r="D158" s="44">
        <x:f>IF($A158="","",InputPlayers!D159)</x:f>
      </x:c>
      <x:c r="E158" s="44">
        <x:f>IF($A158="","",InputPlayers!E159)</x:f>
      </x:c>
      <x:c r="F158" s="44">
        <x:f>IF($A158="","",COUNTIFS(InputPlayers!$A$6:$A$305,$A158,InputPlayers!$B$6:$B$305,$B158,InputPlayers!$C$6:$C$305,$C158,InputPlayers!$D$6:$D$305,$D158,InputPlayers!$O$6:$O$305,"Да"))</x:f>
      </x:c>
      <x:c r="G158" s="44">
        <x:f>IF($A158="","",SUMIFS(InputPlayers!$N$6:$N$305,InputPlayers!$A$6:$A$305,$A158,InputPlayers!$B$6:$B$305,$B158,InputPlayers!$C$6:$C$305,$C158,InputPlayers!$D$6:$D$305,$D158,InputPlayers!$O$6:$O$305,"Да"))</x:f>
      </x:c>
      <x:c r="H158" s="44">
        <x:f>IF(InputPlayers!A159="","",TEXT(InputPlayers!A159,"dd.mm.yyyy")&amp;"|"&amp;InputPlayers!B159&amp;"|"&amp;InputPlayers!C159&amp;"|"&amp;InputPlayers!D159)</x:f>
      </x:c>
    </x:row>
    <x:row r="159">
      <x:c r="A159" s="42">
        <x:f>IF(H159="","",IF(COUNTIF($H$5:H159,H159)&gt;1,"",InputPlayers!A160))</x:f>
      </x:c>
      <x:c r="B159" s="43">
        <x:f>IF($A159="","",InputPlayers!B160)</x:f>
      </x:c>
      <x:c r="C159" s="43">
        <x:f>IF($A159="","",InputPlayers!C160)</x:f>
      </x:c>
      <x:c r="D159" s="44">
        <x:f>IF($A159="","",InputPlayers!D160)</x:f>
      </x:c>
      <x:c r="E159" s="44">
        <x:f>IF($A159="","",InputPlayers!E160)</x:f>
      </x:c>
      <x:c r="F159" s="44">
        <x:f>IF($A159="","",COUNTIFS(InputPlayers!$A$6:$A$305,$A159,InputPlayers!$B$6:$B$305,$B159,InputPlayers!$C$6:$C$305,$C159,InputPlayers!$D$6:$D$305,$D159,InputPlayers!$O$6:$O$305,"Да"))</x:f>
      </x:c>
      <x:c r="G159" s="44">
        <x:f>IF($A159="","",SUMIFS(InputPlayers!$N$6:$N$305,InputPlayers!$A$6:$A$305,$A159,InputPlayers!$B$6:$B$305,$B159,InputPlayers!$C$6:$C$305,$C159,InputPlayers!$D$6:$D$305,$D159,InputPlayers!$O$6:$O$305,"Да"))</x:f>
      </x:c>
      <x:c r="H159" s="44">
        <x:f>IF(InputPlayers!A160="","",TEXT(InputPlayers!A160,"dd.mm.yyyy")&amp;"|"&amp;InputPlayers!B160&amp;"|"&amp;InputPlayers!C160&amp;"|"&amp;InputPlayers!D160)</x:f>
      </x:c>
    </x:row>
    <x:row r="160">
      <x:c r="A160" s="42">
        <x:f>IF(H160="","",IF(COUNTIF($H$5:H160,H160)&gt;1,"",InputPlayers!A161))</x:f>
      </x:c>
      <x:c r="B160" s="43">
        <x:f>IF($A160="","",InputPlayers!B161)</x:f>
      </x:c>
      <x:c r="C160" s="43">
        <x:f>IF($A160="","",InputPlayers!C161)</x:f>
      </x:c>
      <x:c r="D160" s="44">
        <x:f>IF($A160="","",InputPlayers!D161)</x:f>
      </x:c>
      <x:c r="E160" s="44">
        <x:f>IF($A160="","",InputPlayers!E161)</x:f>
      </x:c>
      <x:c r="F160" s="44">
        <x:f>IF($A160="","",COUNTIFS(InputPlayers!$A$6:$A$305,$A160,InputPlayers!$B$6:$B$305,$B160,InputPlayers!$C$6:$C$305,$C160,InputPlayers!$D$6:$D$305,$D160,InputPlayers!$O$6:$O$305,"Да"))</x:f>
      </x:c>
      <x:c r="G160" s="44">
        <x:f>IF($A160="","",SUMIFS(InputPlayers!$N$6:$N$305,InputPlayers!$A$6:$A$305,$A160,InputPlayers!$B$6:$B$305,$B160,InputPlayers!$C$6:$C$305,$C160,InputPlayers!$D$6:$D$305,$D160,InputPlayers!$O$6:$O$305,"Да"))</x:f>
      </x:c>
      <x:c r="H160" s="44">
        <x:f>IF(InputPlayers!A161="","",TEXT(InputPlayers!A161,"dd.mm.yyyy")&amp;"|"&amp;InputPlayers!B161&amp;"|"&amp;InputPlayers!C161&amp;"|"&amp;InputPlayers!D161)</x:f>
      </x:c>
    </x:row>
    <x:row r="161">
      <x:c r="A161" s="42">
        <x:f>IF(H161="","",IF(COUNTIF($H$5:H161,H161)&gt;1,"",InputPlayers!A162))</x:f>
      </x:c>
      <x:c r="B161" s="43">
        <x:f>IF($A161="","",InputPlayers!B162)</x:f>
      </x:c>
      <x:c r="C161" s="43">
        <x:f>IF($A161="","",InputPlayers!C162)</x:f>
      </x:c>
      <x:c r="D161" s="44">
        <x:f>IF($A161="","",InputPlayers!D162)</x:f>
      </x:c>
      <x:c r="E161" s="44">
        <x:f>IF($A161="","",InputPlayers!E162)</x:f>
      </x:c>
      <x:c r="F161" s="44">
        <x:f>IF($A161="","",COUNTIFS(InputPlayers!$A$6:$A$305,$A161,InputPlayers!$B$6:$B$305,$B161,InputPlayers!$C$6:$C$305,$C161,InputPlayers!$D$6:$D$305,$D161,InputPlayers!$O$6:$O$305,"Да"))</x:f>
      </x:c>
      <x:c r="G161" s="44">
        <x:f>IF($A161="","",SUMIFS(InputPlayers!$N$6:$N$305,InputPlayers!$A$6:$A$305,$A161,InputPlayers!$B$6:$B$305,$B161,InputPlayers!$C$6:$C$305,$C161,InputPlayers!$D$6:$D$305,$D161,InputPlayers!$O$6:$O$305,"Да"))</x:f>
      </x:c>
      <x:c r="H161" s="44">
        <x:f>IF(InputPlayers!A162="","",TEXT(InputPlayers!A162,"dd.mm.yyyy")&amp;"|"&amp;InputPlayers!B162&amp;"|"&amp;InputPlayers!C162&amp;"|"&amp;InputPlayers!D162)</x:f>
      </x:c>
    </x:row>
    <x:row r="162">
      <x:c r="A162" s="42">
        <x:f>IF(H162="","",IF(COUNTIF($H$5:H162,H162)&gt;1,"",InputPlayers!A163))</x:f>
      </x:c>
      <x:c r="B162" s="43">
        <x:f>IF($A162="","",InputPlayers!B163)</x:f>
      </x:c>
      <x:c r="C162" s="43">
        <x:f>IF($A162="","",InputPlayers!C163)</x:f>
      </x:c>
      <x:c r="D162" s="44">
        <x:f>IF($A162="","",InputPlayers!D163)</x:f>
      </x:c>
      <x:c r="E162" s="44">
        <x:f>IF($A162="","",InputPlayers!E163)</x:f>
      </x:c>
      <x:c r="F162" s="44">
        <x:f>IF($A162="","",COUNTIFS(InputPlayers!$A$6:$A$305,$A162,InputPlayers!$B$6:$B$305,$B162,InputPlayers!$C$6:$C$305,$C162,InputPlayers!$D$6:$D$305,$D162,InputPlayers!$O$6:$O$305,"Да"))</x:f>
      </x:c>
      <x:c r="G162" s="44">
        <x:f>IF($A162="","",SUMIFS(InputPlayers!$N$6:$N$305,InputPlayers!$A$6:$A$305,$A162,InputPlayers!$B$6:$B$305,$B162,InputPlayers!$C$6:$C$305,$C162,InputPlayers!$D$6:$D$305,$D162,InputPlayers!$O$6:$O$305,"Да"))</x:f>
      </x:c>
      <x:c r="H162" s="44">
        <x:f>IF(InputPlayers!A163="","",TEXT(InputPlayers!A163,"dd.mm.yyyy")&amp;"|"&amp;InputPlayers!B163&amp;"|"&amp;InputPlayers!C163&amp;"|"&amp;InputPlayers!D163)</x:f>
      </x:c>
    </x:row>
    <x:row r="163">
      <x:c r="A163" s="42">
        <x:f>IF(H163="","",IF(COUNTIF($H$5:H163,H163)&gt;1,"",InputPlayers!A164))</x:f>
      </x:c>
      <x:c r="B163" s="43">
        <x:f>IF($A163="","",InputPlayers!B164)</x:f>
      </x:c>
      <x:c r="C163" s="43">
        <x:f>IF($A163="","",InputPlayers!C164)</x:f>
      </x:c>
      <x:c r="D163" s="44">
        <x:f>IF($A163="","",InputPlayers!D164)</x:f>
      </x:c>
      <x:c r="E163" s="44">
        <x:f>IF($A163="","",InputPlayers!E164)</x:f>
      </x:c>
      <x:c r="F163" s="44">
        <x:f>IF($A163="","",COUNTIFS(InputPlayers!$A$6:$A$305,$A163,InputPlayers!$B$6:$B$305,$B163,InputPlayers!$C$6:$C$305,$C163,InputPlayers!$D$6:$D$305,$D163,InputPlayers!$O$6:$O$305,"Да"))</x:f>
      </x:c>
      <x:c r="G163" s="44">
        <x:f>IF($A163="","",SUMIFS(InputPlayers!$N$6:$N$305,InputPlayers!$A$6:$A$305,$A163,InputPlayers!$B$6:$B$305,$B163,InputPlayers!$C$6:$C$305,$C163,InputPlayers!$D$6:$D$305,$D163,InputPlayers!$O$6:$O$305,"Да"))</x:f>
      </x:c>
      <x:c r="H163" s="44">
        <x:f>IF(InputPlayers!A164="","",TEXT(InputPlayers!A164,"dd.mm.yyyy")&amp;"|"&amp;InputPlayers!B164&amp;"|"&amp;InputPlayers!C164&amp;"|"&amp;InputPlayers!D164)</x:f>
      </x:c>
    </x:row>
    <x:row r="164">
      <x:c r="A164" s="42">
        <x:f>IF(H164="","",IF(COUNTIF($H$5:H164,H164)&gt;1,"",InputPlayers!A165))</x:f>
      </x:c>
      <x:c r="B164" s="43">
        <x:f>IF($A164="","",InputPlayers!B165)</x:f>
      </x:c>
      <x:c r="C164" s="43">
        <x:f>IF($A164="","",InputPlayers!C165)</x:f>
      </x:c>
      <x:c r="D164" s="44">
        <x:f>IF($A164="","",InputPlayers!D165)</x:f>
      </x:c>
      <x:c r="E164" s="44">
        <x:f>IF($A164="","",InputPlayers!E165)</x:f>
      </x:c>
      <x:c r="F164" s="44">
        <x:f>IF($A164="","",COUNTIFS(InputPlayers!$A$6:$A$305,$A164,InputPlayers!$B$6:$B$305,$B164,InputPlayers!$C$6:$C$305,$C164,InputPlayers!$D$6:$D$305,$D164,InputPlayers!$O$6:$O$305,"Да"))</x:f>
      </x:c>
      <x:c r="G164" s="44">
        <x:f>IF($A164="","",SUMIFS(InputPlayers!$N$6:$N$305,InputPlayers!$A$6:$A$305,$A164,InputPlayers!$B$6:$B$305,$B164,InputPlayers!$C$6:$C$305,$C164,InputPlayers!$D$6:$D$305,$D164,InputPlayers!$O$6:$O$305,"Да"))</x:f>
      </x:c>
      <x:c r="H164" s="44">
        <x:f>IF(InputPlayers!A165="","",TEXT(InputPlayers!A165,"dd.mm.yyyy")&amp;"|"&amp;InputPlayers!B165&amp;"|"&amp;InputPlayers!C165&amp;"|"&amp;InputPlayers!D165)</x:f>
      </x:c>
    </x:row>
    <x:row r="165">
      <x:c r="A165" s="42">
        <x:f>IF(H165="","",IF(COUNTIF($H$5:H165,H165)&gt;1,"",InputPlayers!A166))</x:f>
      </x:c>
      <x:c r="B165" s="43">
        <x:f>IF($A165="","",InputPlayers!B166)</x:f>
      </x:c>
      <x:c r="C165" s="43">
        <x:f>IF($A165="","",InputPlayers!C166)</x:f>
      </x:c>
      <x:c r="D165" s="44">
        <x:f>IF($A165="","",InputPlayers!D166)</x:f>
      </x:c>
      <x:c r="E165" s="44">
        <x:f>IF($A165="","",InputPlayers!E166)</x:f>
      </x:c>
      <x:c r="F165" s="44">
        <x:f>IF($A165="","",COUNTIFS(InputPlayers!$A$6:$A$305,$A165,InputPlayers!$B$6:$B$305,$B165,InputPlayers!$C$6:$C$305,$C165,InputPlayers!$D$6:$D$305,$D165,InputPlayers!$O$6:$O$305,"Да"))</x:f>
      </x:c>
      <x:c r="G165" s="44">
        <x:f>IF($A165="","",SUMIFS(InputPlayers!$N$6:$N$305,InputPlayers!$A$6:$A$305,$A165,InputPlayers!$B$6:$B$305,$B165,InputPlayers!$C$6:$C$305,$C165,InputPlayers!$D$6:$D$305,$D165,InputPlayers!$O$6:$O$305,"Да"))</x:f>
      </x:c>
      <x:c r="H165" s="44">
        <x:f>IF(InputPlayers!A166="","",TEXT(InputPlayers!A166,"dd.mm.yyyy")&amp;"|"&amp;InputPlayers!B166&amp;"|"&amp;InputPlayers!C166&amp;"|"&amp;InputPlayers!D166)</x:f>
      </x:c>
    </x:row>
    <x:row r="166">
      <x:c r="A166" s="42">
        <x:f>IF(H166="","",IF(COUNTIF($H$5:H166,H166)&gt;1,"",InputPlayers!A167))</x:f>
      </x:c>
      <x:c r="B166" s="43">
        <x:f>IF($A166="","",InputPlayers!B167)</x:f>
      </x:c>
      <x:c r="C166" s="43">
        <x:f>IF($A166="","",InputPlayers!C167)</x:f>
      </x:c>
      <x:c r="D166" s="44">
        <x:f>IF($A166="","",InputPlayers!D167)</x:f>
      </x:c>
      <x:c r="E166" s="44">
        <x:f>IF($A166="","",InputPlayers!E167)</x:f>
      </x:c>
      <x:c r="F166" s="44">
        <x:f>IF($A166="","",COUNTIFS(InputPlayers!$A$6:$A$305,$A166,InputPlayers!$B$6:$B$305,$B166,InputPlayers!$C$6:$C$305,$C166,InputPlayers!$D$6:$D$305,$D166,InputPlayers!$O$6:$O$305,"Да"))</x:f>
      </x:c>
      <x:c r="G166" s="44">
        <x:f>IF($A166="","",SUMIFS(InputPlayers!$N$6:$N$305,InputPlayers!$A$6:$A$305,$A166,InputPlayers!$B$6:$B$305,$B166,InputPlayers!$C$6:$C$305,$C166,InputPlayers!$D$6:$D$305,$D166,InputPlayers!$O$6:$O$305,"Да"))</x:f>
      </x:c>
      <x:c r="H166" s="44">
        <x:f>IF(InputPlayers!A167="","",TEXT(InputPlayers!A167,"dd.mm.yyyy")&amp;"|"&amp;InputPlayers!B167&amp;"|"&amp;InputPlayers!C167&amp;"|"&amp;InputPlayers!D167)</x:f>
      </x:c>
    </x:row>
    <x:row r="167">
      <x:c r="A167" s="42">
        <x:f>IF(H167="","",IF(COUNTIF($H$5:H167,H167)&gt;1,"",InputPlayers!A168))</x:f>
      </x:c>
      <x:c r="B167" s="43">
        <x:f>IF($A167="","",InputPlayers!B168)</x:f>
      </x:c>
      <x:c r="C167" s="43">
        <x:f>IF($A167="","",InputPlayers!C168)</x:f>
      </x:c>
      <x:c r="D167" s="44">
        <x:f>IF($A167="","",InputPlayers!D168)</x:f>
      </x:c>
      <x:c r="E167" s="44">
        <x:f>IF($A167="","",InputPlayers!E168)</x:f>
      </x:c>
      <x:c r="F167" s="44">
        <x:f>IF($A167="","",COUNTIFS(InputPlayers!$A$6:$A$305,$A167,InputPlayers!$B$6:$B$305,$B167,InputPlayers!$C$6:$C$305,$C167,InputPlayers!$D$6:$D$305,$D167,InputPlayers!$O$6:$O$305,"Да"))</x:f>
      </x:c>
      <x:c r="G167" s="44">
        <x:f>IF($A167="","",SUMIFS(InputPlayers!$N$6:$N$305,InputPlayers!$A$6:$A$305,$A167,InputPlayers!$B$6:$B$305,$B167,InputPlayers!$C$6:$C$305,$C167,InputPlayers!$D$6:$D$305,$D167,InputPlayers!$O$6:$O$305,"Да"))</x:f>
      </x:c>
      <x:c r="H167" s="44">
        <x:f>IF(InputPlayers!A168="","",TEXT(InputPlayers!A168,"dd.mm.yyyy")&amp;"|"&amp;InputPlayers!B168&amp;"|"&amp;InputPlayers!C168&amp;"|"&amp;InputPlayers!D168)</x:f>
      </x:c>
    </x:row>
    <x:row r="168">
      <x:c r="A168" s="42">
        <x:f>IF(H168="","",IF(COUNTIF($H$5:H168,H168)&gt;1,"",InputPlayers!A169))</x:f>
      </x:c>
      <x:c r="B168" s="43">
        <x:f>IF($A168="","",InputPlayers!B169)</x:f>
      </x:c>
      <x:c r="C168" s="43">
        <x:f>IF($A168="","",InputPlayers!C169)</x:f>
      </x:c>
      <x:c r="D168" s="44">
        <x:f>IF($A168="","",InputPlayers!D169)</x:f>
      </x:c>
      <x:c r="E168" s="44">
        <x:f>IF($A168="","",InputPlayers!E169)</x:f>
      </x:c>
      <x:c r="F168" s="44">
        <x:f>IF($A168="","",COUNTIFS(InputPlayers!$A$6:$A$305,$A168,InputPlayers!$B$6:$B$305,$B168,InputPlayers!$C$6:$C$305,$C168,InputPlayers!$D$6:$D$305,$D168,InputPlayers!$O$6:$O$305,"Да"))</x:f>
      </x:c>
      <x:c r="G168" s="44">
        <x:f>IF($A168="","",SUMIFS(InputPlayers!$N$6:$N$305,InputPlayers!$A$6:$A$305,$A168,InputPlayers!$B$6:$B$305,$B168,InputPlayers!$C$6:$C$305,$C168,InputPlayers!$D$6:$D$305,$D168,InputPlayers!$O$6:$O$305,"Да"))</x:f>
      </x:c>
      <x:c r="H168" s="44">
        <x:f>IF(InputPlayers!A169="","",TEXT(InputPlayers!A169,"dd.mm.yyyy")&amp;"|"&amp;InputPlayers!B169&amp;"|"&amp;InputPlayers!C169&amp;"|"&amp;InputPlayers!D169)</x:f>
      </x:c>
    </x:row>
    <x:row r="169">
      <x:c r="A169" s="42">
        <x:f>IF(H169="","",IF(COUNTIF($H$5:H169,H169)&gt;1,"",InputPlayers!A170))</x:f>
      </x:c>
      <x:c r="B169" s="43">
        <x:f>IF($A169="","",InputPlayers!B170)</x:f>
      </x:c>
      <x:c r="C169" s="43">
        <x:f>IF($A169="","",InputPlayers!C170)</x:f>
      </x:c>
      <x:c r="D169" s="44">
        <x:f>IF($A169="","",InputPlayers!D170)</x:f>
      </x:c>
      <x:c r="E169" s="44">
        <x:f>IF($A169="","",InputPlayers!E170)</x:f>
      </x:c>
      <x:c r="F169" s="44">
        <x:f>IF($A169="","",COUNTIFS(InputPlayers!$A$6:$A$305,$A169,InputPlayers!$B$6:$B$305,$B169,InputPlayers!$C$6:$C$305,$C169,InputPlayers!$D$6:$D$305,$D169,InputPlayers!$O$6:$O$305,"Да"))</x:f>
      </x:c>
      <x:c r="G169" s="44">
        <x:f>IF($A169="","",SUMIFS(InputPlayers!$N$6:$N$305,InputPlayers!$A$6:$A$305,$A169,InputPlayers!$B$6:$B$305,$B169,InputPlayers!$C$6:$C$305,$C169,InputPlayers!$D$6:$D$305,$D169,InputPlayers!$O$6:$O$305,"Да"))</x:f>
      </x:c>
      <x:c r="H169" s="44">
        <x:f>IF(InputPlayers!A170="","",TEXT(InputPlayers!A170,"dd.mm.yyyy")&amp;"|"&amp;InputPlayers!B170&amp;"|"&amp;InputPlayers!C170&amp;"|"&amp;InputPlayers!D170)</x:f>
      </x:c>
    </x:row>
    <x:row r="170">
      <x:c r="A170" s="42">
        <x:f>IF(H170="","",IF(COUNTIF($H$5:H170,H170)&gt;1,"",InputPlayers!A171))</x:f>
      </x:c>
      <x:c r="B170" s="43">
        <x:f>IF($A170="","",InputPlayers!B171)</x:f>
      </x:c>
      <x:c r="C170" s="43">
        <x:f>IF($A170="","",InputPlayers!C171)</x:f>
      </x:c>
      <x:c r="D170" s="44">
        <x:f>IF($A170="","",InputPlayers!D171)</x:f>
      </x:c>
      <x:c r="E170" s="44">
        <x:f>IF($A170="","",InputPlayers!E171)</x:f>
      </x:c>
      <x:c r="F170" s="44">
        <x:f>IF($A170="","",COUNTIFS(InputPlayers!$A$6:$A$305,$A170,InputPlayers!$B$6:$B$305,$B170,InputPlayers!$C$6:$C$305,$C170,InputPlayers!$D$6:$D$305,$D170,InputPlayers!$O$6:$O$305,"Да"))</x:f>
      </x:c>
      <x:c r="G170" s="44">
        <x:f>IF($A170="","",SUMIFS(InputPlayers!$N$6:$N$305,InputPlayers!$A$6:$A$305,$A170,InputPlayers!$B$6:$B$305,$B170,InputPlayers!$C$6:$C$305,$C170,InputPlayers!$D$6:$D$305,$D170,InputPlayers!$O$6:$O$305,"Да"))</x:f>
      </x:c>
      <x:c r="H170" s="44">
        <x:f>IF(InputPlayers!A171="","",TEXT(InputPlayers!A171,"dd.mm.yyyy")&amp;"|"&amp;InputPlayers!B171&amp;"|"&amp;InputPlayers!C171&amp;"|"&amp;InputPlayers!D171)</x:f>
      </x:c>
    </x:row>
    <x:row r="171">
      <x:c r="A171" s="42">
        <x:f>IF(H171="","",IF(COUNTIF($H$5:H171,H171)&gt;1,"",InputPlayers!A172))</x:f>
      </x:c>
      <x:c r="B171" s="43">
        <x:f>IF($A171="","",InputPlayers!B172)</x:f>
      </x:c>
      <x:c r="C171" s="43">
        <x:f>IF($A171="","",InputPlayers!C172)</x:f>
      </x:c>
      <x:c r="D171" s="44">
        <x:f>IF($A171="","",InputPlayers!D172)</x:f>
      </x:c>
      <x:c r="E171" s="44">
        <x:f>IF($A171="","",InputPlayers!E172)</x:f>
      </x:c>
      <x:c r="F171" s="44">
        <x:f>IF($A171="","",COUNTIFS(InputPlayers!$A$6:$A$305,$A171,InputPlayers!$B$6:$B$305,$B171,InputPlayers!$C$6:$C$305,$C171,InputPlayers!$D$6:$D$305,$D171,InputPlayers!$O$6:$O$305,"Да"))</x:f>
      </x:c>
      <x:c r="G171" s="44">
        <x:f>IF($A171="","",SUMIFS(InputPlayers!$N$6:$N$305,InputPlayers!$A$6:$A$305,$A171,InputPlayers!$B$6:$B$305,$B171,InputPlayers!$C$6:$C$305,$C171,InputPlayers!$D$6:$D$305,$D171,InputPlayers!$O$6:$O$305,"Да"))</x:f>
      </x:c>
      <x:c r="H171" s="44">
        <x:f>IF(InputPlayers!A172="","",TEXT(InputPlayers!A172,"dd.mm.yyyy")&amp;"|"&amp;InputPlayers!B172&amp;"|"&amp;InputPlayers!C172&amp;"|"&amp;InputPlayers!D172)</x:f>
      </x:c>
    </x:row>
    <x:row r="172">
      <x:c r="A172" s="42">
        <x:f>IF(H172="","",IF(COUNTIF($H$5:H172,H172)&gt;1,"",InputPlayers!A173))</x:f>
      </x:c>
      <x:c r="B172" s="43">
        <x:f>IF($A172="","",InputPlayers!B173)</x:f>
      </x:c>
      <x:c r="C172" s="43">
        <x:f>IF($A172="","",InputPlayers!C173)</x:f>
      </x:c>
      <x:c r="D172" s="44">
        <x:f>IF($A172="","",InputPlayers!D173)</x:f>
      </x:c>
      <x:c r="E172" s="44">
        <x:f>IF($A172="","",InputPlayers!E173)</x:f>
      </x:c>
      <x:c r="F172" s="44">
        <x:f>IF($A172="","",COUNTIFS(InputPlayers!$A$6:$A$305,$A172,InputPlayers!$B$6:$B$305,$B172,InputPlayers!$C$6:$C$305,$C172,InputPlayers!$D$6:$D$305,$D172,InputPlayers!$O$6:$O$305,"Да"))</x:f>
      </x:c>
      <x:c r="G172" s="44">
        <x:f>IF($A172="","",SUMIFS(InputPlayers!$N$6:$N$305,InputPlayers!$A$6:$A$305,$A172,InputPlayers!$B$6:$B$305,$B172,InputPlayers!$C$6:$C$305,$C172,InputPlayers!$D$6:$D$305,$D172,InputPlayers!$O$6:$O$305,"Да"))</x:f>
      </x:c>
      <x:c r="H172" s="44">
        <x:f>IF(InputPlayers!A173="","",TEXT(InputPlayers!A173,"dd.mm.yyyy")&amp;"|"&amp;InputPlayers!B173&amp;"|"&amp;InputPlayers!C173&amp;"|"&amp;InputPlayers!D173)</x:f>
      </x:c>
    </x:row>
    <x:row r="173">
      <x:c r="A173" s="42">
        <x:f>IF(H173="","",IF(COUNTIF($H$5:H173,H173)&gt;1,"",InputPlayers!A174))</x:f>
      </x:c>
      <x:c r="B173" s="43">
        <x:f>IF($A173="","",InputPlayers!B174)</x:f>
      </x:c>
      <x:c r="C173" s="43">
        <x:f>IF($A173="","",InputPlayers!C174)</x:f>
      </x:c>
      <x:c r="D173" s="44">
        <x:f>IF($A173="","",InputPlayers!D174)</x:f>
      </x:c>
      <x:c r="E173" s="44">
        <x:f>IF($A173="","",InputPlayers!E174)</x:f>
      </x:c>
      <x:c r="F173" s="44">
        <x:f>IF($A173="","",COUNTIFS(InputPlayers!$A$6:$A$305,$A173,InputPlayers!$B$6:$B$305,$B173,InputPlayers!$C$6:$C$305,$C173,InputPlayers!$D$6:$D$305,$D173,InputPlayers!$O$6:$O$305,"Да"))</x:f>
      </x:c>
      <x:c r="G173" s="44">
        <x:f>IF($A173="","",SUMIFS(InputPlayers!$N$6:$N$305,InputPlayers!$A$6:$A$305,$A173,InputPlayers!$B$6:$B$305,$B173,InputPlayers!$C$6:$C$305,$C173,InputPlayers!$D$6:$D$305,$D173,InputPlayers!$O$6:$O$305,"Да"))</x:f>
      </x:c>
      <x:c r="H173" s="44">
        <x:f>IF(InputPlayers!A174="","",TEXT(InputPlayers!A174,"dd.mm.yyyy")&amp;"|"&amp;InputPlayers!B174&amp;"|"&amp;InputPlayers!C174&amp;"|"&amp;InputPlayers!D174)</x:f>
      </x:c>
    </x:row>
    <x:row r="174">
      <x:c r="A174" s="42">
        <x:f>IF(H174="","",IF(COUNTIF($H$5:H174,H174)&gt;1,"",InputPlayers!A175))</x:f>
      </x:c>
      <x:c r="B174" s="43">
        <x:f>IF($A174="","",InputPlayers!B175)</x:f>
      </x:c>
      <x:c r="C174" s="43">
        <x:f>IF($A174="","",InputPlayers!C175)</x:f>
      </x:c>
      <x:c r="D174" s="44">
        <x:f>IF($A174="","",InputPlayers!D175)</x:f>
      </x:c>
      <x:c r="E174" s="44">
        <x:f>IF($A174="","",InputPlayers!E175)</x:f>
      </x:c>
      <x:c r="F174" s="44">
        <x:f>IF($A174="","",COUNTIFS(InputPlayers!$A$6:$A$305,$A174,InputPlayers!$B$6:$B$305,$B174,InputPlayers!$C$6:$C$305,$C174,InputPlayers!$D$6:$D$305,$D174,InputPlayers!$O$6:$O$305,"Да"))</x:f>
      </x:c>
      <x:c r="G174" s="44">
        <x:f>IF($A174="","",SUMIFS(InputPlayers!$N$6:$N$305,InputPlayers!$A$6:$A$305,$A174,InputPlayers!$B$6:$B$305,$B174,InputPlayers!$C$6:$C$305,$C174,InputPlayers!$D$6:$D$305,$D174,InputPlayers!$O$6:$O$305,"Да"))</x:f>
      </x:c>
      <x:c r="H174" s="44">
        <x:f>IF(InputPlayers!A175="","",TEXT(InputPlayers!A175,"dd.mm.yyyy")&amp;"|"&amp;InputPlayers!B175&amp;"|"&amp;InputPlayers!C175&amp;"|"&amp;InputPlayers!D175)</x:f>
      </x:c>
    </x:row>
    <x:row r="175">
      <x:c r="A175" s="42">
        <x:f>IF(H175="","",IF(COUNTIF($H$5:H175,H175)&gt;1,"",InputPlayers!A176))</x:f>
      </x:c>
      <x:c r="B175" s="43">
        <x:f>IF($A175="","",InputPlayers!B176)</x:f>
      </x:c>
      <x:c r="C175" s="43">
        <x:f>IF($A175="","",InputPlayers!C176)</x:f>
      </x:c>
      <x:c r="D175" s="44">
        <x:f>IF($A175="","",InputPlayers!D176)</x:f>
      </x:c>
      <x:c r="E175" s="44">
        <x:f>IF($A175="","",InputPlayers!E176)</x:f>
      </x:c>
      <x:c r="F175" s="44">
        <x:f>IF($A175="","",COUNTIFS(InputPlayers!$A$6:$A$305,$A175,InputPlayers!$B$6:$B$305,$B175,InputPlayers!$C$6:$C$305,$C175,InputPlayers!$D$6:$D$305,$D175,InputPlayers!$O$6:$O$305,"Да"))</x:f>
      </x:c>
      <x:c r="G175" s="44">
        <x:f>IF($A175="","",SUMIFS(InputPlayers!$N$6:$N$305,InputPlayers!$A$6:$A$305,$A175,InputPlayers!$B$6:$B$305,$B175,InputPlayers!$C$6:$C$305,$C175,InputPlayers!$D$6:$D$305,$D175,InputPlayers!$O$6:$O$305,"Да"))</x:f>
      </x:c>
      <x:c r="H175" s="44">
        <x:f>IF(InputPlayers!A176="","",TEXT(InputPlayers!A176,"dd.mm.yyyy")&amp;"|"&amp;InputPlayers!B176&amp;"|"&amp;InputPlayers!C176&amp;"|"&amp;InputPlayers!D176)</x:f>
      </x:c>
    </x:row>
    <x:row r="176">
      <x:c r="A176" s="42">
        <x:f>IF(H176="","",IF(COUNTIF($H$5:H176,H176)&gt;1,"",InputPlayers!A177))</x:f>
      </x:c>
      <x:c r="B176" s="43">
        <x:f>IF($A176="","",InputPlayers!B177)</x:f>
      </x:c>
      <x:c r="C176" s="43">
        <x:f>IF($A176="","",InputPlayers!C177)</x:f>
      </x:c>
      <x:c r="D176" s="44">
        <x:f>IF($A176="","",InputPlayers!D177)</x:f>
      </x:c>
      <x:c r="E176" s="44">
        <x:f>IF($A176="","",InputPlayers!E177)</x:f>
      </x:c>
      <x:c r="F176" s="44">
        <x:f>IF($A176="","",COUNTIFS(InputPlayers!$A$6:$A$305,$A176,InputPlayers!$B$6:$B$305,$B176,InputPlayers!$C$6:$C$305,$C176,InputPlayers!$D$6:$D$305,$D176,InputPlayers!$O$6:$O$305,"Да"))</x:f>
      </x:c>
      <x:c r="G176" s="44">
        <x:f>IF($A176="","",SUMIFS(InputPlayers!$N$6:$N$305,InputPlayers!$A$6:$A$305,$A176,InputPlayers!$B$6:$B$305,$B176,InputPlayers!$C$6:$C$305,$C176,InputPlayers!$D$6:$D$305,$D176,InputPlayers!$O$6:$O$305,"Да"))</x:f>
      </x:c>
      <x:c r="H176" s="44">
        <x:f>IF(InputPlayers!A177="","",TEXT(InputPlayers!A177,"dd.mm.yyyy")&amp;"|"&amp;InputPlayers!B177&amp;"|"&amp;InputPlayers!C177&amp;"|"&amp;InputPlayers!D177)</x:f>
      </x:c>
    </x:row>
    <x:row r="177">
      <x:c r="A177" s="42">
        <x:f>IF(H177="","",IF(COUNTIF($H$5:H177,H177)&gt;1,"",InputPlayers!A178))</x:f>
      </x:c>
      <x:c r="B177" s="43">
        <x:f>IF($A177="","",InputPlayers!B178)</x:f>
      </x:c>
      <x:c r="C177" s="43">
        <x:f>IF($A177="","",InputPlayers!C178)</x:f>
      </x:c>
      <x:c r="D177" s="44">
        <x:f>IF($A177="","",InputPlayers!D178)</x:f>
      </x:c>
      <x:c r="E177" s="44">
        <x:f>IF($A177="","",InputPlayers!E178)</x:f>
      </x:c>
      <x:c r="F177" s="44">
        <x:f>IF($A177="","",COUNTIFS(InputPlayers!$A$6:$A$305,$A177,InputPlayers!$B$6:$B$305,$B177,InputPlayers!$C$6:$C$305,$C177,InputPlayers!$D$6:$D$305,$D177,InputPlayers!$O$6:$O$305,"Да"))</x:f>
      </x:c>
      <x:c r="G177" s="44">
        <x:f>IF($A177="","",SUMIFS(InputPlayers!$N$6:$N$305,InputPlayers!$A$6:$A$305,$A177,InputPlayers!$B$6:$B$305,$B177,InputPlayers!$C$6:$C$305,$C177,InputPlayers!$D$6:$D$305,$D177,InputPlayers!$O$6:$O$305,"Да"))</x:f>
      </x:c>
      <x:c r="H177" s="44">
        <x:f>IF(InputPlayers!A178="","",TEXT(InputPlayers!A178,"dd.mm.yyyy")&amp;"|"&amp;InputPlayers!B178&amp;"|"&amp;InputPlayers!C178&amp;"|"&amp;InputPlayers!D178)</x:f>
      </x:c>
    </x:row>
    <x:row r="178">
      <x:c r="A178" s="42">
        <x:f>IF(H178="","",IF(COUNTIF($H$5:H178,H178)&gt;1,"",InputPlayers!A179))</x:f>
      </x:c>
      <x:c r="B178" s="43">
        <x:f>IF($A178="","",InputPlayers!B179)</x:f>
      </x:c>
      <x:c r="C178" s="43">
        <x:f>IF($A178="","",InputPlayers!C179)</x:f>
      </x:c>
      <x:c r="D178" s="44">
        <x:f>IF($A178="","",InputPlayers!D179)</x:f>
      </x:c>
      <x:c r="E178" s="44">
        <x:f>IF($A178="","",InputPlayers!E179)</x:f>
      </x:c>
      <x:c r="F178" s="44">
        <x:f>IF($A178="","",COUNTIFS(InputPlayers!$A$6:$A$305,$A178,InputPlayers!$B$6:$B$305,$B178,InputPlayers!$C$6:$C$305,$C178,InputPlayers!$D$6:$D$305,$D178,InputPlayers!$O$6:$O$305,"Да"))</x:f>
      </x:c>
      <x:c r="G178" s="44">
        <x:f>IF($A178="","",SUMIFS(InputPlayers!$N$6:$N$305,InputPlayers!$A$6:$A$305,$A178,InputPlayers!$B$6:$B$305,$B178,InputPlayers!$C$6:$C$305,$C178,InputPlayers!$D$6:$D$305,$D178,InputPlayers!$O$6:$O$305,"Да"))</x:f>
      </x:c>
      <x:c r="H178" s="44">
        <x:f>IF(InputPlayers!A179="","",TEXT(InputPlayers!A179,"dd.mm.yyyy")&amp;"|"&amp;InputPlayers!B179&amp;"|"&amp;InputPlayers!C179&amp;"|"&amp;InputPlayers!D179)</x:f>
      </x:c>
    </x:row>
    <x:row r="179">
      <x:c r="A179" s="42">
        <x:f>IF(H179="","",IF(COUNTIF($H$5:H179,H179)&gt;1,"",InputPlayers!A180))</x:f>
      </x:c>
      <x:c r="B179" s="43">
        <x:f>IF($A179="","",InputPlayers!B180)</x:f>
      </x:c>
      <x:c r="C179" s="43">
        <x:f>IF($A179="","",InputPlayers!C180)</x:f>
      </x:c>
      <x:c r="D179" s="44">
        <x:f>IF($A179="","",InputPlayers!D180)</x:f>
      </x:c>
      <x:c r="E179" s="44">
        <x:f>IF($A179="","",InputPlayers!E180)</x:f>
      </x:c>
      <x:c r="F179" s="44">
        <x:f>IF($A179="","",COUNTIFS(InputPlayers!$A$6:$A$305,$A179,InputPlayers!$B$6:$B$305,$B179,InputPlayers!$C$6:$C$305,$C179,InputPlayers!$D$6:$D$305,$D179,InputPlayers!$O$6:$O$305,"Да"))</x:f>
      </x:c>
      <x:c r="G179" s="44">
        <x:f>IF($A179="","",SUMIFS(InputPlayers!$N$6:$N$305,InputPlayers!$A$6:$A$305,$A179,InputPlayers!$B$6:$B$305,$B179,InputPlayers!$C$6:$C$305,$C179,InputPlayers!$D$6:$D$305,$D179,InputPlayers!$O$6:$O$305,"Да"))</x:f>
      </x:c>
      <x:c r="H179" s="44">
        <x:f>IF(InputPlayers!A180="","",TEXT(InputPlayers!A180,"dd.mm.yyyy")&amp;"|"&amp;InputPlayers!B180&amp;"|"&amp;InputPlayers!C180&amp;"|"&amp;InputPlayers!D180)</x:f>
      </x:c>
    </x:row>
    <x:row r="180">
      <x:c r="A180" s="42">
        <x:f>IF(H180="","",IF(COUNTIF($H$5:H180,H180)&gt;1,"",InputPlayers!A181))</x:f>
      </x:c>
      <x:c r="B180" s="43">
        <x:f>IF($A180="","",InputPlayers!B181)</x:f>
      </x:c>
      <x:c r="C180" s="43">
        <x:f>IF($A180="","",InputPlayers!C181)</x:f>
      </x:c>
      <x:c r="D180" s="44">
        <x:f>IF($A180="","",InputPlayers!D181)</x:f>
      </x:c>
      <x:c r="E180" s="44">
        <x:f>IF($A180="","",InputPlayers!E181)</x:f>
      </x:c>
      <x:c r="F180" s="44">
        <x:f>IF($A180="","",COUNTIFS(InputPlayers!$A$6:$A$305,$A180,InputPlayers!$B$6:$B$305,$B180,InputPlayers!$C$6:$C$305,$C180,InputPlayers!$D$6:$D$305,$D180,InputPlayers!$O$6:$O$305,"Да"))</x:f>
      </x:c>
      <x:c r="G180" s="44">
        <x:f>IF($A180="","",SUMIFS(InputPlayers!$N$6:$N$305,InputPlayers!$A$6:$A$305,$A180,InputPlayers!$B$6:$B$305,$B180,InputPlayers!$C$6:$C$305,$C180,InputPlayers!$D$6:$D$305,$D180,InputPlayers!$O$6:$O$305,"Да"))</x:f>
      </x:c>
      <x:c r="H180" s="44">
        <x:f>IF(InputPlayers!A181="","",TEXT(InputPlayers!A181,"dd.mm.yyyy")&amp;"|"&amp;InputPlayers!B181&amp;"|"&amp;InputPlayers!C181&amp;"|"&amp;InputPlayers!D181)</x:f>
      </x:c>
    </x:row>
    <x:row r="181">
      <x:c r="A181" s="42">
        <x:f>IF(H181="","",IF(COUNTIF($H$5:H181,H181)&gt;1,"",InputPlayers!A182))</x:f>
      </x:c>
      <x:c r="B181" s="43">
        <x:f>IF($A181="","",InputPlayers!B182)</x:f>
      </x:c>
      <x:c r="C181" s="43">
        <x:f>IF($A181="","",InputPlayers!C182)</x:f>
      </x:c>
      <x:c r="D181" s="44">
        <x:f>IF($A181="","",InputPlayers!D182)</x:f>
      </x:c>
      <x:c r="E181" s="44">
        <x:f>IF($A181="","",InputPlayers!E182)</x:f>
      </x:c>
      <x:c r="F181" s="44">
        <x:f>IF($A181="","",COUNTIFS(InputPlayers!$A$6:$A$305,$A181,InputPlayers!$B$6:$B$305,$B181,InputPlayers!$C$6:$C$305,$C181,InputPlayers!$D$6:$D$305,$D181,InputPlayers!$O$6:$O$305,"Да"))</x:f>
      </x:c>
      <x:c r="G181" s="44">
        <x:f>IF($A181="","",SUMIFS(InputPlayers!$N$6:$N$305,InputPlayers!$A$6:$A$305,$A181,InputPlayers!$B$6:$B$305,$B181,InputPlayers!$C$6:$C$305,$C181,InputPlayers!$D$6:$D$305,$D181,InputPlayers!$O$6:$O$305,"Да"))</x:f>
      </x:c>
      <x:c r="H181" s="44">
        <x:f>IF(InputPlayers!A182="","",TEXT(InputPlayers!A182,"dd.mm.yyyy")&amp;"|"&amp;InputPlayers!B182&amp;"|"&amp;InputPlayers!C182&amp;"|"&amp;InputPlayers!D182)</x:f>
      </x:c>
    </x:row>
    <x:row r="182">
      <x:c r="A182" s="42">
        <x:f>IF(H182="","",IF(COUNTIF($H$5:H182,H182)&gt;1,"",InputPlayers!A183))</x:f>
      </x:c>
      <x:c r="B182" s="43">
        <x:f>IF($A182="","",InputPlayers!B183)</x:f>
      </x:c>
      <x:c r="C182" s="43">
        <x:f>IF($A182="","",InputPlayers!C183)</x:f>
      </x:c>
      <x:c r="D182" s="44">
        <x:f>IF($A182="","",InputPlayers!D183)</x:f>
      </x:c>
      <x:c r="E182" s="44">
        <x:f>IF($A182="","",InputPlayers!E183)</x:f>
      </x:c>
      <x:c r="F182" s="44">
        <x:f>IF($A182="","",COUNTIFS(InputPlayers!$A$6:$A$305,$A182,InputPlayers!$B$6:$B$305,$B182,InputPlayers!$C$6:$C$305,$C182,InputPlayers!$D$6:$D$305,$D182,InputPlayers!$O$6:$O$305,"Да"))</x:f>
      </x:c>
      <x:c r="G182" s="44">
        <x:f>IF($A182="","",SUMIFS(InputPlayers!$N$6:$N$305,InputPlayers!$A$6:$A$305,$A182,InputPlayers!$B$6:$B$305,$B182,InputPlayers!$C$6:$C$305,$C182,InputPlayers!$D$6:$D$305,$D182,InputPlayers!$O$6:$O$305,"Да"))</x:f>
      </x:c>
      <x:c r="H182" s="44">
        <x:f>IF(InputPlayers!A183="","",TEXT(InputPlayers!A183,"dd.mm.yyyy")&amp;"|"&amp;InputPlayers!B183&amp;"|"&amp;InputPlayers!C183&amp;"|"&amp;InputPlayers!D183)</x:f>
      </x:c>
    </x:row>
    <x:row r="183">
      <x:c r="A183" s="42">
        <x:f>IF(H183="","",IF(COUNTIF($H$5:H183,H183)&gt;1,"",InputPlayers!A184))</x:f>
      </x:c>
      <x:c r="B183" s="43">
        <x:f>IF($A183="","",InputPlayers!B184)</x:f>
      </x:c>
      <x:c r="C183" s="43">
        <x:f>IF($A183="","",InputPlayers!C184)</x:f>
      </x:c>
      <x:c r="D183" s="44">
        <x:f>IF($A183="","",InputPlayers!D184)</x:f>
      </x:c>
      <x:c r="E183" s="44">
        <x:f>IF($A183="","",InputPlayers!E184)</x:f>
      </x:c>
      <x:c r="F183" s="44">
        <x:f>IF($A183="","",COUNTIFS(InputPlayers!$A$6:$A$305,$A183,InputPlayers!$B$6:$B$305,$B183,InputPlayers!$C$6:$C$305,$C183,InputPlayers!$D$6:$D$305,$D183,InputPlayers!$O$6:$O$305,"Да"))</x:f>
      </x:c>
      <x:c r="G183" s="44">
        <x:f>IF($A183="","",SUMIFS(InputPlayers!$N$6:$N$305,InputPlayers!$A$6:$A$305,$A183,InputPlayers!$B$6:$B$305,$B183,InputPlayers!$C$6:$C$305,$C183,InputPlayers!$D$6:$D$305,$D183,InputPlayers!$O$6:$O$305,"Да"))</x:f>
      </x:c>
      <x:c r="H183" s="44">
        <x:f>IF(InputPlayers!A184="","",TEXT(InputPlayers!A184,"dd.mm.yyyy")&amp;"|"&amp;InputPlayers!B184&amp;"|"&amp;InputPlayers!C184&amp;"|"&amp;InputPlayers!D184)</x:f>
      </x:c>
    </x:row>
    <x:row r="184">
      <x:c r="A184" s="42">
        <x:f>IF(H184="","",IF(COUNTIF($H$5:H184,H184)&gt;1,"",InputPlayers!A185))</x:f>
      </x:c>
      <x:c r="B184" s="43">
        <x:f>IF($A184="","",InputPlayers!B185)</x:f>
      </x:c>
      <x:c r="C184" s="43">
        <x:f>IF($A184="","",InputPlayers!C185)</x:f>
      </x:c>
      <x:c r="D184" s="44">
        <x:f>IF($A184="","",InputPlayers!D185)</x:f>
      </x:c>
      <x:c r="E184" s="44">
        <x:f>IF($A184="","",InputPlayers!E185)</x:f>
      </x:c>
      <x:c r="F184" s="44">
        <x:f>IF($A184="","",COUNTIFS(InputPlayers!$A$6:$A$305,$A184,InputPlayers!$B$6:$B$305,$B184,InputPlayers!$C$6:$C$305,$C184,InputPlayers!$D$6:$D$305,$D184,InputPlayers!$O$6:$O$305,"Да"))</x:f>
      </x:c>
      <x:c r="G184" s="44">
        <x:f>IF($A184="","",SUMIFS(InputPlayers!$N$6:$N$305,InputPlayers!$A$6:$A$305,$A184,InputPlayers!$B$6:$B$305,$B184,InputPlayers!$C$6:$C$305,$C184,InputPlayers!$D$6:$D$305,$D184,InputPlayers!$O$6:$O$305,"Да"))</x:f>
      </x:c>
      <x:c r="H184" s="44">
        <x:f>IF(InputPlayers!A185="","",TEXT(InputPlayers!A185,"dd.mm.yyyy")&amp;"|"&amp;InputPlayers!B185&amp;"|"&amp;InputPlayers!C185&amp;"|"&amp;InputPlayers!D185)</x:f>
      </x:c>
    </x:row>
    <x:row r="185">
      <x:c r="A185" s="42">
        <x:f>IF(H185="","",IF(COUNTIF($H$5:H185,H185)&gt;1,"",InputPlayers!A186))</x:f>
      </x:c>
      <x:c r="B185" s="43">
        <x:f>IF($A185="","",InputPlayers!B186)</x:f>
      </x:c>
      <x:c r="C185" s="43">
        <x:f>IF($A185="","",InputPlayers!C186)</x:f>
      </x:c>
      <x:c r="D185" s="44">
        <x:f>IF($A185="","",InputPlayers!D186)</x:f>
      </x:c>
      <x:c r="E185" s="44">
        <x:f>IF($A185="","",InputPlayers!E186)</x:f>
      </x:c>
      <x:c r="F185" s="44">
        <x:f>IF($A185="","",COUNTIFS(InputPlayers!$A$6:$A$305,$A185,InputPlayers!$B$6:$B$305,$B185,InputPlayers!$C$6:$C$305,$C185,InputPlayers!$D$6:$D$305,$D185,InputPlayers!$O$6:$O$305,"Да"))</x:f>
      </x:c>
      <x:c r="G185" s="44">
        <x:f>IF($A185="","",SUMIFS(InputPlayers!$N$6:$N$305,InputPlayers!$A$6:$A$305,$A185,InputPlayers!$B$6:$B$305,$B185,InputPlayers!$C$6:$C$305,$C185,InputPlayers!$D$6:$D$305,$D185,InputPlayers!$O$6:$O$305,"Да"))</x:f>
      </x:c>
      <x:c r="H185" s="44">
        <x:f>IF(InputPlayers!A186="","",TEXT(InputPlayers!A186,"dd.mm.yyyy")&amp;"|"&amp;InputPlayers!B186&amp;"|"&amp;InputPlayers!C186&amp;"|"&amp;InputPlayers!D186)</x:f>
      </x:c>
    </x:row>
    <x:row r="186">
      <x:c r="A186" s="42">
        <x:f>IF(H186="","",IF(COUNTIF($H$5:H186,H186)&gt;1,"",InputPlayers!A187))</x:f>
      </x:c>
      <x:c r="B186" s="43">
        <x:f>IF($A186="","",InputPlayers!B187)</x:f>
      </x:c>
      <x:c r="C186" s="43">
        <x:f>IF($A186="","",InputPlayers!C187)</x:f>
      </x:c>
      <x:c r="D186" s="44">
        <x:f>IF($A186="","",InputPlayers!D187)</x:f>
      </x:c>
      <x:c r="E186" s="44">
        <x:f>IF($A186="","",InputPlayers!E187)</x:f>
      </x:c>
      <x:c r="F186" s="44">
        <x:f>IF($A186="","",COUNTIFS(InputPlayers!$A$6:$A$305,$A186,InputPlayers!$B$6:$B$305,$B186,InputPlayers!$C$6:$C$305,$C186,InputPlayers!$D$6:$D$305,$D186,InputPlayers!$O$6:$O$305,"Да"))</x:f>
      </x:c>
      <x:c r="G186" s="44">
        <x:f>IF($A186="","",SUMIFS(InputPlayers!$N$6:$N$305,InputPlayers!$A$6:$A$305,$A186,InputPlayers!$B$6:$B$305,$B186,InputPlayers!$C$6:$C$305,$C186,InputPlayers!$D$6:$D$305,$D186,InputPlayers!$O$6:$O$305,"Да"))</x:f>
      </x:c>
      <x:c r="H186" s="44">
        <x:f>IF(InputPlayers!A187="","",TEXT(InputPlayers!A187,"dd.mm.yyyy")&amp;"|"&amp;InputPlayers!B187&amp;"|"&amp;InputPlayers!C187&amp;"|"&amp;InputPlayers!D187)</x:f>
      </x:c>
    </x:row>
    <x:row r="187">
      <x:c r="A187" s="42">
        <x:f>IF(H187="","",IF(COUNTIF($H$5:H187,H187)&gt;1,"",InputPlayers!A188))</x:f>
      </x:c>
      <x:c r="B187" s="43">
        <x:f>IF($A187="","",InputPlayers!B188)</x:f>
      </x:c>
      <x:c r="C187" s="43">
        <x:f>IF($A187="","",InputPlayers!C188)</x:f>
      </x:c>
      <x:c r="D187" s="44">
        <x:f>IF($A187="","",InputPlayers!D188)</x:f>
      </x:c>
      <x:c r="E187" s="44">
        <x:f>IF($A187="","",InputPlayers!E188)</x:f>
      </x:c>
      <x:c r="F187" s="44">
        <x:f>IF($A187="","",COUNTIFS(InputPlayers!$A$6:$A$305,$A187,InputPlayers!$B$6:$B$305,$B187,InputPlayers!$C$6:$C$305,$C187,InputPlayers!$D$6:$D$305,$D187,InputPlayers!$O$6:$O$305,"Да"))</x:f>
      </x:c>
      <x:c r="G187" s="44">
        <x:f>IF($A187="","",SUMIFS(InputPlayers!$N$6:$N$305,InputPlayers!$A$6:$A$305,$A187,InputPlayers!$B$6:$B$305,$B187,InputPlayers!$C$6:$C$305,$C187,InputPlayers!$D$6:$D$305,$D187,InputPlayers!$O$6:$O$305,"Да"))</x:f>
      </x:c>
      <x:c r="H187" s="44">
        <x:f>IF(InputPlayers!A188="","",TEXT(InputPlayers!A188,"dd.mm.yyyy")&amp;"|"&amp;InputPlayers!B188&amp;"|"&amp;InputPlayers!C188&amp;"|"&amp;InputPlayers!D188)</x:f>
      </x:c>
    </x:row>
    <x:row r="188">
      <x:c r="A188" s="42">
        <x:f>IF(H188="","",IF(COUNTIF($H$5:H188,H188)&gt;1,"",InputPlayers!A189))</x:f>
      </x:c>
      <x:c r="B188" s="43">
        <x:f>IF($A188="","",InputPlayers!B189)</x:f>
      </x:c>
      <x:c r="C188" s="43">
        <x:f>IF($A188="","",InputPlayers!C189)</x:f>
      </x:c>
      <x:c r="D188" s="44">
        <x:f>IF($A188="","",InputPlayers!D189)</x:f>
      </x:c>
      <x:c r="E188" s="44">
        <x:f>IF($A188="","",InputPlayers!E189)</x:f>
      </x:c>
      <x:c r="F188" s="44">
        <x:f>IF($A188="","",COUNTIFS(InputPlayers!$A$6:$A$305,$A188,InputPlayers!$B$6:$B$305,$B188,InputPlayers!$C$6:$C$305,$C188,InputPlayers!$D$6:$D$305,$D188,InputPlayers!$O$6:$O$305,"Да"))</x:f>
      </x:c>
      <x:c r="G188" s="44">
        <x:f>IF($A188="","",SUMIFS(InputPlayers!$N$6:$N$305,InputPlayers!$A$6:$A$305,$A188,InputPlayers!$B$6:$B$305,$B188,InputPlayers!$C$6:$C$305,$C188,InputPlayers!$D$6:$D$305,$D188,InputPlayers!$O$6:$O$305,"Да"))</x:f>
      </x:c>
      <x:c r="H188" s="44">
        <x:f>IF(InputPlayers!A189="","",TEXT(InputPlayers!A189,"dd.mm.yyyy")&amp;"|"&amp;InputPlayers!B189&amp;"|"&amp;InputPlayers!C189&amp;"|"&amp;InputPlayers!D189)</x:f>
      </x:c>
    </x:row>
    <x:row r="189">
      <x:c r="A189" s="42">
        <x:f>IF(H189="","",IF(COUNTIF($H$5:H189,H189)&gt;1,"",InputPlayers!A190))</x:f>
      </x:c>
      <x:c r="B189" s="43">
        <x:f>IF($A189="","",InputPlayers!B190)</x:f>
      </x:c>
      <x:c r="C189" s="43">
        <x:f>IF($A189="","",InputPlayers!C190)</x:f>
      </x:c>
      <x:c r="D189" s="44">
        <x:f>IF($A189="","",InputPlayers!D190)</x:f>
      </x:c>
      <x:c r="E189" s="44">
        <x:f>IF($A189="","",InputPlayers!E190)</x:f>
      </x:c>
      <x:c r="F189" s="44">
        <x:f>IF($A189="","",COUNTIFS(InputPlayers!$A$6:$A$305,$A189,InputPlayers!$B$6:$B$305,$B189,InputPlayers!$C$6:$C$305,$C189,InputPlayers!$D$6:$D$305,$D189,InputPlayers!$O$6:$O$305,"Да"))</x:f>
      </x:c>
      <x:c r="G189" s="44">
        <x:f>IF($A189="","",SUMIFS(InputPlayers!$N$6:$N$305,InputPlayers!$A$6:$A$305,$A189,InputPlayers!$B$6:$B$305,$B189,InputPlayers!$C$6:$C$305,$C189,InputPlayers!$D$6:$D$305,$D189,InputPlayers!$O$6:$O$305,"Да"))</x:f>
      </x:c>
      <x:c r="H189" s="44">
        <x:f>IF(InputPlayers!A190="","",TEXT(InputPlayers!A190,"dd.mm.yyyy")&amp;"|"&amp;InputPlayers!B190&amp;"|"&amp;InputPlayers!C190&amp;"|"&amp;InputPlayers!D190)</x:f>
      </x:c>
    </x:row>
    <x:row r="190">
      <x:c r="A190" s="42">
        <x:f>IF(H190="","",IF(COUNTIF($H$5:H190,H190)&gt;1,"",InputPlayers!A191))</x:f>
      </x:c>
      <x:c r="B190" s="43">
        <x:f>IF($A190="","",InputPlayers!B191)</x:f>
      </x:c>
      <x:c r="C190" s="43">
        <x:f>IF($A190="","",InputPlayers!C191)</x:f>
      </x:c>
      <x:c r="D190" s="44">
        <x:f>IF($A190="","",InputPlayers!D191)</x:f>
      </x:c>
      <x:c r="E190" s="44">
        <x:f>IF($A190="","",InputPlayers!E191)</x:f>
      </x:c>
      <x:c r="F190" s="44">
        <x:f>IF($A190="","",COUNTIFS(InputPlayers!$A$6:$A$305,$A190,InputPlayers!$B$6:$B$305,$B190,InputPlayers!$C$6:$C$305,$C190,InputPlayers!$D$6:$D$305,$D190,InputPlayers!$O$6:$O$305,"Да"))</x:f>
      </x:c>
      <x:c r="G190" s="44">
        <x:f>IF($A190="","",SUMIFS(InputPlayers!$N$6:$N$305,InputPlayers!$A$6:$A$305,$A190,InputPlayers!$B$6:$B$305,$B190,InputPlayers!$C$6:$C$305,$C190,InputPlayers!$D$6:$D$305,$D190,InputPlayers!$O$6:$O$305,"Да"))</x:f>
      </x:c>
      <x:c r="H190" s="44">
        <x:f>IF(InputPlayers!A191="","",TEXT(InputPlayers!A191,"dd.mm.yyyy")&amp;"|"&amp;InputPlayers!B191&amp;"|"&amp;InputPlayers!C191&amp;"|"&amp;InputPlayers!D191)</x:f>
      </x:c>
    </x:row>
    <x:row r="191">
      <x:c r="A191" s="42">
        <x:f>IF(H191="","",IF(COUNTIF($H$5:H191,H191)&gt;1,"",InputPlayers!A192))</x:f>
      </x:c>
      <x:c r="B191" s="43">
        <x:f>IF($A191="","",InputPlayers!B192)</x:f>
      </x:c>
      <x:c r="C191" s="43">
        <x:f>IF($A191="","",InputPlayers!C192)</x:f>
      </x:c>
      <x:c r="D191" s="44">
        <x:f>IF($A191="","",InputPlayers!D192)</x:f>
      </x:c>
      <x:c r="E191" s="44">
        <x:f>IF($A191="","",InputPlayers!E192)</x:f>
      </x:c>
      <x:c r="F191" s="44">
        <x:f>IF($A191="","",COUNTIFS(InputPlayers!$A$6:$A$305,$A191,InputPlayers!$B$6:$B$305,$B191,InputPlayers!$C$6:$C$305,$C191,InputPlayers!$D$6:$D$305,$D191,InputPlayers!$O$6:$O$305,"Да"))</x:f>
      </x:c>
      <x:c r="G191" s="44">
        <x:f>IF($A191="","",SUMIFS(InputPlayers!$N$6:$N$305,InputPlayers!$A$6:$A$305,$A191,InputPlayers!$B$6:$B$305,$B191,InputPlayers!$C$6:$C$305,$C191,InputPlayers!$D$6:$D$305,$D191,InputPlayers!$O$6:$O$305,"Да"))</x:f>
      </x:c>
      <x:c r="H191" s="44">
        <x:f>IF(InputPlayers!A192="","",TEXT(InputPlayers!A192,"dd.mm.yyyy")&amp;"|"&amp;InputPlayers!B192&amp;"|"&amp;InputPlayers!C192&amp;"|"&amp;InputPlayers!D192)</x:f>
      </x:c>
    </x:row>
    <x:row r="192">
      <x:c r="A192" s="42">
        <x:f>IF(H192="","",IF(COUNTIF($H$5:H192,H192)&gt;1,"",InputPlayers!A193))</x:f>
      </x:c>
      <x:c r="B192" s="43">
        <x:f>IF($A192="","",InputPlayers!B193)</x:f>
      </x:c>
      <x:c r="C192" s="43">
        <x:f>IF($A192="","",InputPlayers!C193)</x:f>
      </x:c>
      <x:c r="D192" s="44">
        <x:f>IF($A192="","",InputPlayers!D193)</x:f>
      </x:c>
      <x:c r="E192" s="44">
        <x:f>IF($A192="","",InputPlayers!E193)</x:f>
      </x:c>
      <x:c r="F192" s="44">
        <x:f>IF($A192="","",COUNTIFS(InputPlayers!$A$6:$A$305,$A192,InputPlayers!$B$6:$B$305,$B192,InputPlayers!$C$6:$C$305,$C192,InputPlayers!$D$6:$D$305,$D192,InputPlayers!$O$6:$O$305,"Да"))</x:f>
      </x:c>
      <x:c r="G192" s="44">
        <x:f>IF($A192="","",SUMIFS(InputPlayers!$N$6:$N$305,InputPlayers!$A$6:$A$305,$A192,InputPlayers!$B$6:$B$305,$B192,InputPlayers!$C$6:$C$305,$C192,InputPlayers!$D$6:$D$305,$D192,InputPlayers!$O$6:$O$305,"Да"))</x:f>
      </x:c>
      <x:c r="H192" s="44">
        <x:f>IF(InputPlayers!A193="","",TEXT(InputPlayers!A193,"dd.mm.yyyy")&amp;"|"&amp;InputPlayers!B193&amp;"|"&amp;InputPlayers!C193&amp;"|"&amp;InputPlayers!D193)</x:f>
      </x:c>
    </x:row>
    <x:row r="193">
      <x:c r="A193" s="42">
        <x:f>IF(H193="","",IF(COUNTIF($H$5:H193,H193)&gt;1,"",InputPlayers!A194))</x:f>
      </x:c>
      <x:c r="B193" s="43">
        <x:f>IF($A193="","",InputPlayers!B194)</x:f>
      </x:c>
      <x:c r="C193" s="43">
        <x:f>IF($A193="","",InputPlayers!C194)</x:f>
      </x:c>
      <x:c r="D193" s="44">
        <x:f>IF($A193="","",InputPlayers!D194)</x:f>
      </x:c>
      <x:c r="E193" s="44">
        <x:f>IF($A193="","",InputPlayers!E194)</x:f>
      </x:c>
      <x:c r="F193" s="44">
        <x:f>IF($A193="","",COUNTIFS(InputPlayers!$A$6:$A$305,$A193,InputPlayers!$B$6:$B$305,$B193,InputPlayers!$C$6:$C$305,$C193,InputPlayers!$D$6:$D$305,$D193,InputPlayers!$O$6:$O$305,"Да"))</x:f>
      </x:c>
      <x:c r="G193" s="44">
        <x:f>IF($A193="","",SUMIFS(InputPlayers!$N$6:$N$305,InputPlayers!$A$6:$A$305,$A193,InputPlayers!$B$6:$B$305,$B193,InputPlayers!$C$6:$C$305,$C193,InputPlayers!$D$6:$D$305,$D193,InputPlayers!$O$6:$O$305,"Да"))</x:f>
      </x:c>
      <x:c r="H193" s="44">
        <x:f>IF(InputPlayers!A194="","",TEXT(InputPlayers!A194,"dd.mm.yyyy")&amp;"|"&amp;InputPlayers!B194&amp;"|"&amp;InputPlayers!C194&amp;"|"&amp;InputPlayers!D194)</x:f>
      </x:c>
    </x:row>
    <x:row r="194">
      <x:c r="A194" s="42">
        <x:f>IF(H194="","",IF(COUNTIF($H$5:H194,H194)&gt;1,"",InputPlayers!A195))</x:f>
      </x:c>
      <x:c r="B194" s="43">
        <x:f>IF($A194="","",InputPlayers!B195)</x:f>
      </x:c>
      <x:c r="C194" s="43">
        <x:f>IF($A194="","",InputPlayers!C195)</x:f>
      </x:c>
      <x:c r="D194" s="44">
        <x:f>IF($A194="","",InputPlayers!D195)</x:f>
      </x:c>
      <x:c r="E194" s="44">
        <x:f>IF($A194="","",InputPlayers!E195)</x:f>
      </x:c>
      <x:c r="F194" s="44">
        <x:f>IF($A194="","",COUNTIFS(InputPlayers!$A$6:$A$305,$A194,InputPlayers!$B$6:$B$305,$B194,InputPlayers!$C$6:$C$305,$C194,InputPlayers!$D$6:$D$305,$D194,InputPlayers!$O$6:$O$305,"Да"))</x:f>
      </x:c>
      <x:c r="G194" s="44">
        <x:f>IF($A194="","",SUMIFS(InputPlayers!$N$6:$N$305,InputPlayers!$A$6:$A$305,$A194,InputPlayers!$B$6:$B$305,$B194,InputPlayers!$C$6:$C$305,$C194,InputPlayers!$D$6:$D$305,$D194,InputPlayers!$O$6:$O$305,"Да"))</x:f>
      </x:c>
      <x:c r="H194" s="44">
        <x:f>IF(InputPlayers!A195="","",TEXT(InputPlayers!A195,"dd.mm.yyyy")&amp;"|"&amp;InputPlayers!B195&amp;"|"&amp;InputPlayers!C195&amp;"|"&amp;InputPlayers!D195)</x:f>
      </x:c>
    </x:row>
    <x:row r="195">
      <x:c r="A195" s="42">
        <x:f>IF(H195="","",IF(COUNTIF($H$5:H195,H195)&gt;1,"",InputPlayers!A196))</x:f>
      </x:c>
      <x:c r="B195" s="43">
        <x:f>IF($A195="","",InputPlayers!B196)</x:f>
      </x:c>
      <x:c r="C195" s="43">
        <x:f>IF($A195="","",InputPlayers!C196)</x:f>
      </x:c>
      <x:c r="D195" s="44">
        <x:f>IF($A195="","",InputPlayers!D196)</x:f>
      </x:c>
      <x:c r="E195" s="44">
        <x:f>IF($A195="","",InputPlayers!E196)</x:f>
      </x:c>
      <x:c r="F195" s="44">
        <x:f>IF($A195="","",COUNTIFS(InputPlayers!$A$6:$A$305,$A195,InputPlayers!$B$6:$B$305,$B195,InputPlayers!$C$6:$C$305,$C195,InputPlayers!$D$6:$D$305,$D195,InputPlayers!$O$6:$O$305,"Да"))</x:f>
      </x:c>
      <x:c r="G195" s="44">
        <x:f>IF($A195="","",SUMIFS(InputPlayers!$N$6:$N$305,InputPlayers!$A$6:$A$305,$A195,InputPlayers!$B$6:$B$305,$B195,InputPlayers!$C$6:$C$305,$C195,InputPlayers!$D$6:$D$305,$D195,InputPlayers!$O$6:$O$305,"Да"))</x:f>
      </x:c>
      <x:c r="H195" s="44">
        <x:f>IF(InputPlayers!A196="","",TEXT(InputPlayers!A196,"dd.mm.yyyy")&amp;"|"&amp;InputPlayers!B196&amp;"|"&amp;InputPlayers!C196&amp;"|"&amp;InputPlayers!D196)</x:f>
      </x:c>
    </x:row>
    <x:row r="196">
      <x:c r="A196" s="42">
        <x:f>IF(H196="","",IF(COUNTIF($H$5:H196,H196)&gt;1,"",InputPlayers!A197))</x:f>
      </x:c>
      <x:c r="B196" s="43">
        <x:f>IF($A196="","",InputPlayers!B197)</x:f>
      </x:c>
      <x:c r="C196" s="43">
        <x:f>IF($A196="","",InputPlayers!C197)</x:f>
      </x:c>
      <x:c r="D196" s="44">
        <x:f>IF($A196="","",InputPlayers!D197)</x:f>
      </x:c>
      <x:c r="E196" s="44">
        <x:f>IF($A196="","",InputPlayers!E197)</x:f>
      </x:c>
      <x:c r="F196" s="44">
        <x:f>IF($A196="","",COUNTIFS(InputPlayers!$A$6:$A$305,$A196,InputPlayers!$B$6:$B$305,$B196,InputPlayers!$C$6:$C$305,$C196,InputPlayers!$D$6:$D$305,$D196,InputPlayers!$O$6:$O$305,"Да"))</x:f>
      </x:c>
      <x:c r="G196" s="44">
        <x:f>IF($A196="","",SUMIFS(InputPlayers!$N$6:$N$305,InputPlayers!$A$6:$A$305,$A196,InputPlayers!$B$6:$B$305,$B196,InputPlayers!$C$6:$C$305,$C196,InputPlayers!$D$6:$D$305,$D196,InputPlayers!$O$6:$O$305,"Да"))</x:f>
      </x:c>
      <x:c r="H196" s="44">
        <x:f>IF(InputPlayers!A197="","",TEXT(InputPlayers!A197,"dd.mm.yyyy")&amp;"|"&amp;InputPlayers!B197&amp;"|"&amp;InputPlayers!C197&amp;"|"&amp;InputPlayers!D197)</x:f>
      </x:c>
    </x:row>
    <x:row r="197">
      <x:c r="A197" s="42">
        <x:f>IF(H197="","",IF(COUNTIF($H$5:H197,H197)&gt;1,"",InputPlayers!A198))</x:f>
      </x:c>
      <x:c r="B197" s="43">
        <x:f>IF($A197="","",InputPlayers!B198)</x:f>
      </x:c>
      <x:c r="C197" s="43">
        <x:f>IF($A197="","",InputPlayers!C198)</x:f>
      </x:c>
      <x:c r="D197" s="44">
        <x:f>IF($A197="","",InputPlayers!D198)</x:f>
      </x:c>
      <x:c r="E197" s="44">
        <x:f>IF($A197="","",InputPlayers!E198)</x:f>
      </x:c>
      <x:c r="F197" s="44">
        <x:f>IF($A197="","",COUNTIFS(InputPlayers!$A$6:$A$305,$A197,InputPlayers!$B$6:$B$305,$B197,InputPlayers!$C$6:$C$305,$C197,InputPlayers!$D$6:$D$305,$D197,InputPlayers!$O$6:$O$305,"Да"))</x:f>
      </x:c>
      <x:c r="G197" s="44">
        <x:f>IF($A197="","",SUMIFS(InputPlayers!$N$6:$N$305,InputPlayers!$A$6:$A$305,$A197,InputPlayers!$B$6:$B$305,$B197,InputPlayers!$C$6:$C$305,$C197,InputPlayers!$D$6:$D$305,$D197,InputPlayers!$O$6:$O$305,"Да"))</x:f>
      </x:c>
      <x:c r="H197" s="44">
        <x:f>IF(InputPlayers!A198="","",TEXT(InputPlayers!A198,"dd.mm.yyyy")&amp;"|"&amp;InputPlayers!B198&amp;"|"&amp;InputPlayers!C198&amp;"|"&amp;InputPlayers!D198)</x:f>
      </x:c>
    </x:row>
    <x:row r="198">
      <x:c r="A198" s="42">
        <x:f>IF(H198="","",IF(COUNTIF($H$5:H198,H198)&gt;1,"",InputPlayers!A199))</x:f>
      </x:c>
      <x:c r="B198" s="43">
        <x:f>IF($A198="","",InputPlayers!B199)</x:f>
      </x:c>
      <x:c r="C198" s="43">
        <x:f>IF($A198="","",InputPlayers!C199)</x:f>
      </x:c>
      <x:c r="D198" s="44">
        <x:f>IF($A198="","",InputPlayers!D199)</x:f>
      </x:c>
      <x:c r="E198" s="44">
        <x:f>IF($A198="","",InputPlayers!E199)</x:f>
      </x:c>
      <x:c r="F198" s="44">
        <x:f>IF($A198="","",COUNTIFS(InputPlayers!$A$6:$A$305,$A198,InputPlayers!$B$6:$B$305,$B198,InputPlayers!$C$6:$C$305,$C198,InputPlayers!$D$6:$D$305,$D198,InputPlayers!$O$6:$O$305,"Да"))</x:f>
      </x:c>
      <x:c r="G198" s="44">
        <x:f>IF($A198="","",SUMIFS(InputPlayers!$N$6:$N$305,InputPlayers!$A$6:$A$305,$A198,InputPlayers!$B$6:$B$305,$B198,InputPlayers!$C$6:$C$305,$C198,InputPlayers!$D$6:$D$305,$D198,InputPlayers!$O$6:$O$305,"Да"))</x:f>
      </x:c>
      <x:c r="H198" s="44">
        <x:f>IF(InputPlayers!A199="","",TEXT(InputPlayers!A199,"dd.mm.yyyy")&amp;"|"&amp;InputPlayers!B199&amp;"|"&amp;InputPlayers!C199&amp;"|"&amp;InputPlayers!D199)</x:f>
      </x:c>
    </x:row>
    <x:row r="199">
      <x:c r="A199" s="42">
        <x:f>IF(H199="","",IF(COUNTIF($H$5:H199,H199)&gt;1,"",InputPlayers!A200))</x:f>
      </x:c>
      <x:c r="B199" s="43">
        <x:f>IF($A199="","",InputPlayers!B200)</x:f>
      </x:c>
      <x:c r="C199" s="43">
        <x:f>IF($A199="","",InputPlayers!C200)</x:f>
      </x:c>
      <x:c r="D199" s="44">
        <x:f>IF($A199="","",InputPlayers!D200)</x:f>
      </x:c>
      <x:c r="E199" s="44">
        <x:f>IF($A199="","",InputPlayers!E200)</x:f>
      </x:c>
      <x:c r="F199" s="44">
        <x:f>IF($A199="","",COUNTIFS(InputPlayers!$A$6:$A$305,$A199,InputPlayers!$B$6:$B$305,$B199,InputPlayers!$C$6:$C$305,$C199,InputPlayers!$D$6:$D$305,$D199,InputPlayers!$O$6:$O$305,"Да"))</x:f>
      </x:c>
      <x:c r="G199" s="44">
        <x:f>IF($A199="","",SUMIFS(InputPlayers!$N$6:$N$305,InputPlayers!$A$6:$A$305,$A199,InputPlayers!$B$6:$B$305,$B199,InputPlayers!$C$6:$C$305,$C199,InputPlayers!$D$6:$D$305,$D199,InputPlayers!$O$6:$O$305,"Да"))</x:f>
      </x:c>
      <x:c r="H199" s="44">
        <x:f>IF(InputPlayers!A200="","",TEXT(InputPlayers!A200,"dd.mm.yyyy")&amp;"|"&amp;InputPlayers!B200&amp;"|"&amp;InputPlayers!C200&amp;"|"&amp;InputPlayers!D200)</x:f>
      </x:c>
    </x:row>
    <x:row r="200">
      <x:c r="A200" s="42">
        <x:f>IF(H200="","",IF(COUNTIF($H$5:H200,H200)&gt;1,"",InputPlayers!A201))</x:f>
      </x:c>
      <x:c r="B200" s="43">
        <x:f>IF($A200="","",InputPlayers!B201)</x:f>
      </x:c>
      <x:c r="C200" s="43">
        <x:f>IF($A200="","",InputPlayers!C201)</x:f>
      </x:c>
      <x:c r="D200" s="44">
        <x:f>IF($A200="","",InputPlayers!D201)</x:f>
      </x:c>
      <x:c r="E200" s="44">
        <x:f>IF($A200="","",InputPlayers!E201)</x:f>
      </x:c>
      <x:c r="F200" s="44">
        <x:f>IF($A200="","",COUNTIFS(InputPlayers!$A$6:$A$305,$A200,InputPlayers!$B$6:$B$305,$B200,InputPlayers!$C$6:$C$305,$C200,InputPlayers!$D$6:$D$305,$D200,InputPlayers!$O$6:$O$305,"Да"))</x:f>
      </x:c>
      <x:c r="G200" s="44">
        <x:f>IF($A200="","",SUMIFS(InputPlayers!$N$6:$N$305,InputPlayers!$A$6:$A$305,$A200,InputPlayers!$B$6:$B$305,$B200,InputPlayers!$C$6:$C$305,$C200,InputPlayers!$D$6:$D$305,$D200,InputPlayers!$O$6:$O$305,"Да"))</x:f>
      </x:c>
      <x:c r="H200" s="44">
        <x:f>IF(InputPlayers!A201="","",TEXT(InputPlayers!A201,"dd.mm.yyyy")&amp;"|"&amp;InputPlayers!B201&amp;"|"&amp;InputPlayers!C201&amp;"|"&amp;InputPlayers!D201)</x:f>
      </x:c>
    </x:row>
    <x:row r="201">
      <x:c r="A201" s="42">
        <x:f>IF(H201="","",IF(COUNTIF($H$5:H201,H201)&gt;1,"",InputPlayers!A202))</x:f>
      </x:c>
      <x:c r="B201" s="43">
        <x:f>IF($A201="","",InputPlayers!B202)</x:f>
      </x:c>
      <x:c r="C201" s="43">
        <x:f>IF($A201="","",InputPlayers!C202)</x:f>
      </x:c>
      <x:c r="D201" s="44">
        <x:f>IF($A201="","",InputPlayers!D202)</x:f>
      </x:c>
      <x:c r="E201" s="44">
        <x:f>IF($A201="","",InputPlayers!E202)</x:f>
      </x:c>
      <x:c r="F201" s="44">
        <x:f>IF($A201="","",COUNTIFS(InputPlayers!$A$6:$A$305,$A201,InputPlayers!$B$6:$B$305,$B201,InputPlayers!$C$6:$C$305,$C201,InputPlayers!$D$6:$D$305,$D201,InputPlayers!$O$6:$O$305,"Да"))</x:f>
      </x:c>
      <x:c r="G201" s="44">
        <x:f>IF($A201="","",SUMIFS(InputPlayers!$N$6:$N$305,InputPlayers!$A$6:$A$305,$A201,InputPlayers!$B$6:$B$305,$B201,InputPlayers!$C$6:$C$305,$C201,InputPlayers!$D$6:$D$305,$D201,InputPlayers!$O$6:$O$305,"Да"))</x:f>
      </x:c>
      <x:c r="H201" s="44">
        <x:f>IF(InputPlayers!A202="","",TEXT(InputPlayers!A202,"dd.mm.yyyy")&amp;"|"&amp;InputPlayers!B202&amp;"|"&amp;InputPlayers!C202&amp;"|"&amp;InputPlayers!D202)</x:f>
      </x:c>
    </x:row>
    <x:row r="202">
      <x:c r="A202" s="42">
        <x:f>IF(H202="","",IF(COUNTIF($H$5:H202,H202)&gt;1,"",InputPlayers!A203))</x:f>
      </x:c>
      <x:c r="B202" s="43">
        <x:f>IF($A202="","",InputPlayers!B203)</x:f>
      </x:c>
      <x:c r="C202" s="43">
        <x:f>IF($A202="","",InputPlayers!C203)</x:f>
      </x:c>
      <x:c r="D202" s="44">
        <x:f>IF($A202="","",InputPlayers!D203)</x:f>
      </x:c>
      <x:c r="E202" s="44">
        <x:f>IF($A202="","",InputPlayers!E203)</x:f>
      </x:c>
      <x:c r="F202" s="44">
        <x:f>IF($A202="","",COUNTIFS(InputPlayers!$A$6:$A$305,$A202,InputPlayers!$B$6:$B$305,$B202,InputPlayers!$C$6:$C$305,$C202,InputPlayers!$D$6:$D$305,$D202,InputPlayers!$O$6:$O$305,"Да"))</x:f>
      </x:c>
      <x:c r="G202" s="44">
        <x:f>IF($A202="","",SUMIFS(InputPlayers!$N$6:$N$305,InputPlayers!$A$6:$A$305,$A202,InputPlayers!$B$6:$B$305,$B202,InputPlayers!$C$6:$C$305,$C202,InputPlayers!$D$6:$D$305,$D202,InputPlayers!$O$6:$O$305,"Да"))</x:f>
      </x:c>
      <x:c r="H202" s="44">
        <x:f>IF(InputPlayers!A203="","",TEXT(InputPlayers!A203,"dd.mm.yyyy")&amp;"|"&amp;InputPlayers!B203&amp;"|"&amp;InputPlayers!C203&amp;"|"&amp;InputPlayers!D203)</x:f>
      </x:c>
    </x:row>
    <x:row r="203">
      <x:c r="A203" s="42">
        <x:f>IF(H203="","",IF(COUNTIF($H$5:H203,H203)&gt;1,"",InputPlayers!A204))</x:f>
      </x:c>
      <x:c r="B203" s="43">
        <x:f>IF($A203="","",InputPlayers!B204)</x:f>
      </x:c>
      <x:c r="C203" s="43">
        <x:f>IF($A203="","",InputPlayers!C204)</x:f>
      </x:c>
      <x:c r="D203" s="44">
        <x:f>IF($A203="","",InputPlayers!D204)</x:f>
      </x:c>
      <x:c r="E203" s="44">
        <x:f>IF($A203="","",InputPlayers!E204)</x:f>
      </x:c>
      <x:c r="F203" s="44">
        <x:f>IF($A203="","",COUNTIFS(InputPlayers!$A$6:$A$305,$A203,InputPlayers!$B$6:$B$305,$B203,InputPlayers!$C$6:$C$305,$C203,InputPlayers!$D$6:$D$305,$D203,InputPlayers!$O$6:$O$305,"Да"))</x:f>
      </x:c>
      <x:c r="G203" s="44">
        <x:f>IF($A203="","",SUMIFS(InputPlayers!$N$6:$N$305,InputPlayers!$A$6:$A$305,$A203,InputPlayers!$B$6:$B$305,$B203,InputPlayers!$C$6:$C$305,$C203,InputPlayers!$D$6:$D$305,$D203,InputPlayers!$O$6:$O$305,"Да"))</x:f>
      </x:c>
      <x:c r="H203" s="44">
        <x:f>IF(InputPlayers!A204="","",TEXT(InputPlayers!A204,"dd.mm.yyyy")&amp;"|"&amp;InputPlayers!B204&amp;"|"&amp;InputPlayers!C204&amp;"|"&amp;InputPlayers!D204)</x:f>
      </x:c>
    </x:row>
    <x:row r="204">
      <x:c r="A204" s="42">
        <x:f>IF(H204="","",IF(COUNTIF($H$5:H204,H204)&gt;1,"",InputPlayers!A205))</x:f>
      </x:c>
      <x:c r="B204" s="43">
        <x:f>IF($A204="","",InputPlayers!B205)</x:f>
      </x:c>
      <x:c r="C204" s="43">
        <x:f>IF($A204="","",InputPlayers!C205)</x:f>
      </x:c>
      <x:c r="D204" s="44">
        <x:f>IF($A204="","",InputPlayers!D205)</x:f>
      </x:c>
      <x:c r="E204" s="44">
        <x:f>IF($A204="","",InputPlayers!E205)</x:f>
      </x:c>
      <x:c r="F204" s="44">
        <x:f>IF($A204="","",COUNTIFS(InputPlayers!$A$6:$A$305,$A204,InputPlayers!$B$6:$B$305,$B204,InputPlayers!$C$6:$C$305,$C204,InputPlayers!$D$6:$D$305,$D204,InputPlayers!$O$6:$O$305,"Да"))</x:f>
      </x:c>
      <x:c r="G204" s="44">
        <x:f>IF($A204="","",SUMIFS(InputPlayers!$N$6:$N$305,InputPlayers!$A$6:$A$305,$A204,InputPlayers!$B$6:$B$305,$B204,InputPlayers!$C$6:$C$305,$C204,InputPlayers!$D$6:$D$305,$D204,InputPlayers!$O$6:$O$305,"Да"))</x:f>
      </x:c>
      <x:c r="H204" s="44">
        <x:f>IF(InputPlayers!A205="","",TEXT(InputPlayers!A205,"dd.mm.yyyy")&amp;"|"&amp;InputPlayers!B205&amp;"|"&amp;InputPlayers!C205&amp;"|"&amp;InputPlayers!D205)</x:f>
      </x:c>
    </x:row>
    <x:row r="205">
      <x:c r="A205" s="42">
        <x:f>IF(H205="","",IF(COUNTIF($H$5:H205,H205)&gt;1,"",InputPlayers!A206))</x:f>
      </x:c>
      <x:c r="B205" s="43">
        <x:f>IF($A205="","",InputPlayers!B206)</x:f>
      </x:c>
      <x:c r="C205" s="43">
        <x:f>IF($A205="","",InputPlayers!C206)</x:f>
      </x:c>
      <x:c r="D205" s="44">
        <x:f>IF($A205="","",InputPlayers!D206)</x:f>
      </x:c>
      <x:c r="E205" s="44">
        <x:f>IF($A205="","",InputPlayers!E206)</x:f>
      </x:c>
      <x:c r="F205" s="44">
        <x:f>IF($A205="","",COUNTIFS(InputPlayers!$A$6:$A$305,$A205,InputPlayers!$B$6:$B$305,$B205,InputPlayers!$C$6:$C$305,$C205,InputPlayers!$D$6:$D$305,$D205,InputPlayers!$O$6:$O$305,"Да"))</x:f>
      </x:c>
      <x:c r="G205" s="44">
        <x:f>IF($A205="","",SUMIFS(InputPlayers!$N$6:$N$305,InputPlayers!$A$6:$A$305,$A205,InputPlayers!$B$6:$B$305,$B205,InputPlayers!$C$6:$C$305,$C205,InputPlayers!$D$6:$D$305,$D205,InputPlayers!$O$6:$O$305,"Да"))</x:f>
      </x:c>
      <x:c r="H205" s="44">
        <x:f>IF(InputPlayers!A206="","",TEXT(InputPlayers!A206,"dd.mm.yyyy")&amp;"|"&amp;InputPlayers!B206&amp;"|"&amp;InputPlayers!C206&amp;"|"&amp;InputPlayers!D206)</x:f>
      </x:c>
    </x:row>
    <x:row r="206">
      <x:c r="A206" s="42">
        <x:f>IF(H206="","",IF(COUNTIF($H$5:H206,H206)&gt;1,"",InputPlayers!A207))</x:f>
      </x:c>
      <x:c r="B206" s="43">
        <x:f>IF($A206="","",InputPlayers!B207)</x:f>
      </x:c>
      <x:c r="C206" s="43">
        <x:f>IF($A206="","",InputPlayers!C207)</x:f>
      </x:c>
      <x:c r="D206" s="44">
        <x:f>IF($A206="","",InputPlayers!D207)</x:f>
      </x:c>
      <x:c r="E206" s="44">
        <x:f>IF($A206="","",InputPlayers!E207)</x:f>
      </x:c>
      <x:c r="F206" s="44">
        <x:f>IF($A206="","",COUNTIFS(InputPlayers!$A$6:$A$305,$A206,InputPlayers!$B$6:$B$305,$B206,InputPlayers!$C$6:$C$305,$C206,InputPlayers!$D$6:$D$305,$D206,InputPlayers!$O$6:$O$305,"Да"))</x:f>
      </x:c>
      <x:c r="G206" s="44">
        <x:f>IF($A206="","",SUMIFS(InputPlayers!$N$6:$N$305,InputPlayers!$A$6:$A$305,$A206,InputPlayers!$B$6:$B$305,$B206,InputPlayers!$C$6:$C$305,$C206,InputPlayers!$D$6:$D$305,$D206,InputPlayers!$O$6:$O$305,"Да"))</x:f>
      </x:c>
      <x:c r="H206" s="44">
        <x:f>IF(InputPlayers!A207="","",TEXT(InputPlayers!A207,"dd.mm.yyyy")&amp;"|"&amp;InputPlayers!B207&amp;"|"&amp;InputPlayers!C207&amp;"|"&amp;InputPlayers!D207)</x:f>
      </x:c>
    </x:row>
    <x:row r="207">
      <x:c r="A207" s="42">
        <x:f>IF(H207="","",IF(COUNTIF($H$5:H207,H207)&gt;1,"",InputPlayers!A208))</x:f>
      </x:c>
      <x:c r="B207" s="43">
        <x:f>IF($A207="","",InputPlayers!B208)</x:f>
      </x:c>
      <x:c r="C207" s="43">
        <x:f>IF($A207="","",InputPlayers!C208)</x:f>
      </x:c>
      <x:c r="D207" s="44">
        <x:f>IF($A207="","",InputPlayers!D208)</x:f>
      </x:c>
      <x:c r="E207" s="44">
        <x:f>IF($A207="","",InputPlayers!E208)</x:f>
      </x:c>
      <x:c r="F207" s="44">
        <x:f>IF($A207="","",COUNTIFS(InputPlayers!$A$6:$A$305,$A207,InputPlayers!$B$6:$B$305,$B207,InputPlayers!$C$6:$C$305,$C207,InputPlayers!$D$6:$D$305,$D207,InputPlayers!$O$6:$O$305,"Да"))</x:f>
      </x:c>
      <x:c r="G207" s="44">
        <x:f>IF($A207="","",SUMIFS(InputPlayers!$N$6:$N$305,InputPlayers!$A$6:$A$305,$A207,InputPlayers!$B$6:$B$305,$B207,InputPlayers!$C$6:$C$305,$C207,InputPlayers!$D$6:$D$305,$D207,InputPlayers!$O$6:$O$305,"Да"))</x:f>
      </x:c>
      <x:c r="H207" s="44">
        <x:f>IF(InputPlayers!A208="","",TEXT(InputPlayers!A208,"dd.mm.yyyy")&amp;"|"&amp;InputPlayers!B208&amp;"|"&amp;InputPlayers!C208&amp;"|"&amp;InputPlayers!D208)</x:f>
      </x:c>
    </x:row>
    <x:row r="208">
      <x:c r="A208" s="42">
        <x:f>IF(H208="","",IF(COUNTIF($H$5:H208,H208)&gt;1,"",InputPlayers!A209))</x:f>
      </x:c>
      <x:c r="B208" s="43">
        <x:f>IF($A208="","",InputPlayers!B209)</x:f>
      </x:c>
      <x:c r="C208" s="43">
        <x:f>IF($A208="","",InputPlayers!C209)</x:f>
      </x:c>
      <x:c r="D208" s="44">
        <x:f>IF($A208="","",InputPlayers!D209)</x:f>
      </x:c>
      <x:c r="E208" s="44">
        <x:f>IF($A208="","",InputPlayers!E209)</x:f>
      </x:c>
      <x:c r="F208" s="44">
        <x:f>IF($A208="","",COUNTIFS(InputPlayers!$A$6:$A$305,$A208,InputPlayers!$B$6:$B$305,$B208,InputPlayers!$C$6:$C$305,$C208,InputPlayers!$D$6:$D$305,$D208,InputPlayers!$O$6:$O$305,"Да"))</x:f>
      </x:c>
      <x:c r="G208" s="44">
        <x:f>IF($A208="","",SUMIFS(InputPlayers!$N$6:$N$305,InputPlayers!$A$6:$A$305,$A208,InputPlayers!$B$6:$B$305,$B208,InputPlayers!$C$6:$C$305,$C208,InputPlayers!$D$6:$D$305,$D208,InputPlayers!$O$6:$O$305,"Да"))</x:f>
      </x:c>
      <x:c r="H208" s="44">
        <x:f>IF(InputPlayers!A209="","",TEXT(InputPlayers!A209,"dd.mm.yyyy")&amp;"|"&amp;InputPlayers!B209&amp;"|"&amp;InputPlayers!C209&amp;"|"&amp;InputPlayers!D209)</x:f>
      </x:c>
    </x:row>
    <x:row r="209">
      <x:c r="A209" s="42">
        <x:f>IF(H209="","",IF(COUNTIF($H$5:H209,H209)&gt;1,"",InputPlayers!A210))</x:f>
      </x:c>
      <x:c r="B209" s="43">
        <x:f>IF($A209="","",InputPlayers!B210)</x:f>
      </x:c>
      <x:c r="C209" s="43">
        <x:f>IF($A209="","",InputPlayers!C210)</x:f>
      </x:c>
      <x:c r="D209" s="44">
        <x:f>IF($A209="","",InputPlayers!D210)</x:f>
      </x:c>
      <x:c r="E209" s="44">
        <x:f>IF($A209="","",InputPlayers!E210)</x:f>
      </x:c>
      <x:c r="F209" s="44">
        <x:f>IF($A209="","",COUNTIFS(InputPlayers!$A$6:$A$305,$A209,InputPlayers!$B$6:$B$305,$B209,InputPlayers!$C$6:$C$305,$C209,InputPlayers!$D$6:$D$305,$D209,InputPlayers!$O$6:$O$305,"Да"))</x:f>
      </x:c>
      <x:c r="G209" s="44">
        <x:f>IF($A209="","",SUMIFS(InputPlayers!$N$6:$N$305,InputPlayers!$A$6:$A$305,$A209,InputPlayers!$B$6:$B$305,$B209,InputPlayers!$C$6:$C$305,$C209,InputPlayers!$D$6:$D$305,$D209,InputPlayers!$O$6:$O$305,"Да"))</x:f>
      </x:c>
      <x:c r="H209" s="44">
        <x:f>IF(InputPlayers!A210="","",TEXT(InputPlayers!A210,"dd.mm.yyyy")&amp;"|"&amp;InputPlayers!B210&amp;"|"&amp;InputPlayers!C210&amp;"|"&amp;InputPlayers!D210)</x:f>
      </x:c>
    </x:row>
    <x:row r="210">
      <x:c r="A210" s="42">
        <x:f>IF(H210="","",IF(COUNTIF($H$5:H210,H210)&gt;1,"",InputPlayers!A211))</x:f>
      </x:c>
      <x:c r="B210" s="43">
        <x:f>IF($A210="","",InputPlayers!B211)</x:f>
      </x:c>
      <x:c r="C210" s="43">
        <x:f>IF($A210="","",InputPlayers!C211)</x:f>
      </x:c>
      <x:c r="D210" s="44">
        <x:f>IF($A210="","",InputPlayers!D211)</x:f>
      </x:c>
      <x:c r="E210" s="44">
        <x:f>IF($A210="","",InputPlayers!E211)</x:f>
      </x:c>
      <x:c r="F210" s="44">
        <x:f>IF($A210="","",COUNTIFS(InputPlayers!$A$6:$A$305,$A210,InputPlayers!$B$6:$B$305,$B210,InputPlayers!$C$6:$C$305,$C210,InputPlayers!$D$6:$D$305,$D210,InputPlayers!$O$6:$O$305,"Да"))</x:f>
      </x:c>
      <x:c r="G210" s="44">
        <x:f>IF($A210="","",SUMIFS(InputPlayers!$N$6:$N$305,InputPlayers!$A$6:$A$305,$A210,InputPlayers!$B$6:$B$305,$B210,InputPlayers!$C$6:$C$305,$C210,InputPlayers!$D$6:$D$305,$D210,InputPlayers!$O$6:$O$305,"Да"))</x:f>
      </x:c>
      <x:c r="H210" s="44">
        <x:f>IF(InputPlayers!A211="","",TEXT(InputPlayers!A211,"dd.mm.yyyy")&amp;"|"&amp;InputPlayers!B211&amp;"|"&amp;InputPlayers!C211&amp;"|"&amp;InputPlayers!D211)</x:f>
      </x:c>
    </x:row>
    <x:row r="211">
      <x:c r="A211" s="42">
        <x:f>IF(H211="","",IF(COUNTIF($H$5:H211,H211)&gt;1,"",InputPlayers!A212))</x:f>
      </x:c>
      <x:c r="B211" s="43">
        <x:f>IF($A211="","",InputPlayers!B212)</x:f>
      </x:c>
      <x:c r="C211" s="43">
        <x:f>IF($A211="","",InputPlayers!C212)</x:f>
      </x:c>
      <x:c r="D211" s="44">
        <x:f>IF($A211="","",InputPlayers!D212)</x:f>
      </x:c>
      <x:c r="E211" s="44">
        <x:f>IF($A211="","",InputPlayers!E212)</x:f>
      </x:c>
      <x:c r="F211" s="44">
        <x:f>IF($A211="","",COUNTIFS(InputPlayers!$A$6:$A$305,$A211,InputPlayers!$B$6:$B$305,$B211,InputPlayers!$C$6:$C$305,$C211,InputPlayers!$D$6:$D$305,$D211,InputPlayers!$O$6:$O$305,"Да"))</x:f>
      </x:c>
      <x:c r="G211" s="44">
        <x:f>IF($A211="","",SUMIFS(InputPlayers!$N$6:$N$305,InputPlayers!$A$6:$A$305,$A211,InputPlayers!$B$6:$B$305,$B211,InputPlayers!$C$6:$C$305,$C211,InputPlayers!$D$6:$D$305,$D211,InputPlayers!$O$6:$O$305,"Да"))</x:f>
      </x:c>
      <x:c r="H211" s="44">
        <x:f>IF(InputPlayers!A212="","",TEXT(InputPlayers!A212,"dd.mm.yyyy")&amp;"|"&amp;InputPlayers!B212&amp;"|"&amp;InputPlayers!C212&amp;"|"&amp;InputPlayers!D212)</x:f>
      </x:c>
    </x:row>
    <x:row r="212">
      <x:c r="A212" s="42">
        <x:f>IF(H212="","",IF(COUNTIF($H$5:H212,H212)&gt;1,"",InputPlayers!A213))</x:f>
      </x:c>
      <x:c r="B212" s="43">
        <x:f>IF($A212="","",InputPlayers!B213)</x:f>
      </x:c>
      <x:c r="C212" s="43">
        <x:f>IF($A212="","",InputPlayers!C213)</x:f>
      </x:c>
      <x:c r="D212" s="44">
        <x:f>IF($A212="","",InputPlayers!D213)</x:f>
      </x:c>
      <x:c r="E212" s="44">
        <x:f>IF($A212="","",InputPlayers!E213)</x:f>
      </x:c>
      <x:c r="F212" s="44">
        <x:f>IF($A212="","",COUNTIFS(InputPlayers!$A$6:$A$305,$A212,InputPlayers!$B$6:$B$305,$B212,InputPlayers!$C$6:$C$305,$C212,InputPlayers!$D$6:$D$305,$D212,InputPlayers!$O$6:$O$305,"Да"))</x:f>
      </x:c>
      <x:c r="G212" s="44">
        <x:f>IF($A212="","",SUMIFS(InputPlayers!$N$6:$N$305,InputPlayers!$A$6:$A$305,$A212,InputPlayers!$B$6:$B$305,$B212,InputPlayers!$C$6:$C$305,$C212,InputPlayers!$D$6:$D$305,$D212,InputPlayers!$O$6:$O$305,"Да"))</x:f>
      </x:c>
      <x:c r="H212" s="44">
        <x:f>IF(InputPlayers!A213="","",TEXT(InputPlayers!A213,"dd.mm.yyyy")&amp;"|"&amp;InputPlayers!B213&amp;"|"&amp;InputPlayers!C213&amp;"|"&amp;InputPlayers!D213)</x:f>
      </x:c>
    </x:row>
    <x:row r="213">
      <x:c r="A213" s="42">
        <x:f>IF(H213="","",IF(COUNTIF($H$5:H213,H213)&gt;1,"",InputPlayers!A214))</x:f>
      </x:c>
      <x:c r="B213" s="43">
        <x:f>IF($A213="","",InputPlayers!B214)</x:f>
      </x:c>
      <x:c r="C213" s="43">
        <x:f>IF($A213="","",InputPlayers!C214)</x:f>
      </x:c>
      <x:c r="D213" s="44">
        <x:f>IF($A213="","",InputPlayers!D214)</x:f>
      </x:c>
      <x:c r="E213" s="44">
        <x:f>IF($A213="","",InputPlayers!E214)</x:f>
      </x:c>
      <x:c r="F213" s="44">
        <x:f>IF($A213="","",COUNTIFS(InputPlayers!$A$6:$A$305,$A213,InputPlayers!$B$6:$B$305,$B213,InputPlayers!$C$6:$C$305,$C213,InputPlayers!$D$6:$D$305,$D213,InputPlayers!$O$6:$O$305,"Да"))</x:f>
      </x:c>
      <x:c r="G213" s="44">
        <x:f>IF($A213="","",SUMIFS(InputPlayers!$N$6:$N$305,InputPlayers!$A$6:$A$305,$A213,InputPlayers!$B$6:$B$305,$B213,InputPlayers!$C$6:$C$305,$C213,InputPlayers!$D$6:$D$305,$D213,InputPlayers!$O$6:$O$305,"Да"))</x:f>
      </x:c>
      <x:c r="H213" s="44">
        <x:f>IF(InputPlayers!A214="","",TEXT(InputPlayers!A214,"dd.mm.yyyy")&amp;"|"&amp;InputPlayers!B214&amp;"|"&amp;InputPlayers!C214&amp;"|"&amp;InputPlayers!D214)</x:f>
      </x:c>
    </x:row>
    <x:row r="214">
      <x:c r="A214" s="42">
        <x:f>IF(H214="","",IF(COUNTIF($H$5:H214,H214)&gt;1,"",InputPlayers!A215))</x:f>
      </x:c>
      <x:c r="B214" s="43">
        <x:f>IF($A214="","",InputPlayers!B215)</x:f>
      </x:c>
      <x:c r="C214" s="43">
        <x:f>IF($A214="","",InputPlayers!C215)</x:f>
      </x:c>
      <x:c r="D214" s="44">
        <x:f>IF($A214="","",InputPlayers!D215)</x:f>
      </x:c>
      <x:c r="E214" s="44">
        <x:f>IF($A214="","",InputPlayers!E215)</x:f>
      </x:c>
      <x:c r="F214" s="44">
        <x:f>IF($A214="","",COUNTIFS(InputPlayers!$A$6:$A$305,$A214,InputPlayers!$B$6:$B$305,$B214,InputPlayers!$C$6:$C$305,$C214,InputPlayers!$D$6:$D$305,$D214,InputPlayers!$O$6:$O$305,"Да"))</x:f>
      </x:c>
      <x:c r="G214" s="44">
        <x:f>IF($A214="","",SUMIFS(InputPlayers!$N$6:$N$305,InputPlayers!$A$6:$A$305,$A214,InputPlayers!$B$6:$B$305,$B214,InputPlayers!$C$6:$C$305,$C214,InputPlayers!$D$6:$D$305,$D214,InputPlayers!$O$6:$O$305,"Да"))</x:f>
      </x:c>
      <x:c r="H214" s="44">
        <x:f>IF(InputPlayers!A215="","",TEXT(InputPlayers!A215,"dd.mm.yyyy")&amp;"|"&amp;InputPlayers!B215&amp;"|"&amp;InputPlayers!C215&amp;"|"&amp;InputPlayers!D215)</x:f>
      </x:c>
    </x:row>
    <x:row r="215">
      <x:c r="A215" s="42">
        <x:f>IF(H215="","",IF(COUNTIF($H$5:H215,H215)&gt;1,"",InputPlayers!A216))</x:f>
      </x:c>
      <x:c r="B215" s="43">
        <x:f>IF($A215="","",InputPlayers!B216)</x:f>
      </x:c>
      <x:c r="C215" s="43">
        <x:f>IF($A215="","",InputPlayers!C216)</x:f>
      </x:c>
      <x:c r="D215" s="44">
        <x:f>IF($A215="","",InputPlayers!D216)</x:f>
      </x:c>
      <x:c r="E215" s="44">
        <x:f>IF($A215="","",InputPlayers!E216)</x:f>
      </x:c>
      <x:c r="F215" s="44">
        <x:f>IF($A215="","",COUNTIFS(InputPlayers!$A$6:$A$305,$A215,InputPlayers!$B$6:$B$305,$B215,InputPlayers!$C$6:$C$305,$C215,InputPlayers!$D$6:$D$305,$D215,InputPlayers!$O$6:$O$305,"Да"))</x:f>
      </x:c>
      <x:c r="G215" s="44">
        <x:f>IF($A215="","",SUMIFS(InputPlayers!$N$6:$N$305,InputPlayers!$A$6:$A$305,$A215,InputPlayers!$B$6:$B$305,$B215,InputPlayers!$C$6:$C$305,$C215,InputPlayers!$D$6:$D$305,$D215,InputPlayers!$O$6:$O$305,"Да"))</x:f>
      </x:c>
      <x:c r="H215" s="44">
        <x:f>IF(InputPlayers!A216="","",TEXT(InputPlayers!A216,"dd.mm.yyyy")&amp;"|"&amp;InputPlayers!B216&amp;"|"&amp;InputPlayers!C216&amp;"|"&amp;InputPlayers!D216)</x:f>
      </x:c>
    </x:row>
    <x:row r="216">
      <x:c r="A216" s="42">
        <x:f>IF(H216="","",IF(COUNTIF($H$5:H216,H216)&gt;1,"",InputPlayers!A217))</x:f>
      </x:c>
      <x:c r="B216" s="43">
        <x:f>IF($A216="","",InputPlayers!B217)</x:f>
      </x:c>
      <x:c r="C216" s="43">
        <x:f>IF($A216="","",InputPlayers!C217)</x:f>
      </x:c>
      <x:c r="D216" s="44">
        <x:f>IF($A216="","",InputPlayers!D217)</x:f>
      </x:c>
      <x:c r="E216" s="44">
        <x:f>IF($A216="","",InputPlayers!E217)</x:f>
      </x:c>
      <x:c r="F216" s="44">
        <x:f>IF($A216="","",COUNTIFS(InputPlayers!$A$6:$A$305,$A216,InputPlayers!$B$6:$B$305,$B216,InputPlayers!$C$6:$C$305,$C216,InputPlayers!$D$6:$D$305,$D216,InputPlayers!$O$6:$O$305,"Да"))</x:f>
      </x:c>
      <x:c r="G216" s="44">
        <x:f>IF($A216="","",SUMIFS(InputPlayers!$N$6:$N$305,InputPlayers!$A$6:$A$305,$A216,InputPlayers!$B$6:$B$305,$B216,InputPlayers!$C$6:$C$305,$C216,InputPlayers!$D$6:$D$305,$D216,InputPlayers!$O$6:$O$305,"Да"))</x:f>
      </x:c>
      <x:c r="H216" s="44">
        <x:f>IF(InputPlayers!A217="","",TEXT(InputPlayers!A217,"dd.mm.yyyy")&amp;"|"&amp;InputPlayers!B217&amp;"|"&amp;InputPlayers!C217&amp;"|"&amp;InputPlayers!D217)</x:f>
      </x:c>
    </x:row>
    <x:row r="217">
      <x:c r="A217" s="42">
        <x:f>IF(H217="","",IF(COUNTIF($H$5:H217,H217)&gt;1,"",InputPlayers!A218))</x:f>
      </x:c>
      <x:c r="B217" s="43">
        <x:f>IF($A217="","",InputPlayers!B218)</x:f>
      </x:c>
      <x:c r="C217" s="43">
        <x:f>IF($A217="","",InputPlayers!C218)</x:f>
      </x:c>
      <x:c r="D217" s="44">
        <x:f>IF($A217="","",InputPlayers!D218)</x:f>
      </x:c>
      <x:c r="E217" s="44">
        <x:f>IF($A217="","",InputPlayers!E218)</x:f>
      </x:c>
      <x:c r="F217" s="44">
        <x:f>IF($A217="","",COUNTIFS(InputPlayers!$A$6:$A$305,$A217,InputPlayers!$B$6:$B$305,$B217,InputPlayers!$C$6:$C$305,$C217,InputPlayers!$D$6:$D$305,$D217,InputPlayers!$O$6:$O$305,"Да"))</x:f>
      </x:c>
      <x:c r="G217" s="44">
        <x:f>IF($A217="","",SUMIFS(InputPlayers!$N$6:$N$305,InputPlayers!$A$6:$A$305,$A217,InputPlayers!$B$6:$B$305,$B217,InputPlayers!$C$6:$C$305,$C217,InputPlayers!$D$6:$D$305,$D217,InputPlayers!$O$6:$O$305,"Да"))</x:f>
      </x:c>
      <x:c r="H217" s="44">
        <x:f>IF(InputPlayers!A218="","",TEXT(InputPlayers!A218,"dd.mm.yyyy")&amp;"|"&amp;InputPlayers!B218&amp;"|"&amp;InputPlayers!C218&amp;"|"&amp;InputPlayers!D218)</x:f>
      </x:c>
    </x:row>
    <x:row r="218">
      <x:c r="A218" s="42">
        <x:f>IF(H218="","",IF(COUNTIF($H$5:H218,H218)&gt;1,"",InputPlayers!A219))</x:f>
      </x:c>
      <x:c r="B218" s="43">
        <x:f>IF($A218="","",InputPlayers!B219)</x:f>
      </x:c>
      <x:c r="C218" s="43">
        <x:f>IF($A218="","",InputPlayers!C219)</x:f>
      </x:c>
      <x:c r="D218" s="44">
        <x:f>IF($A218="","",InputPlayers!D219)</x:f>
      </x:c>
      <x:c r="E218" s="44">
        <x:f>IF($A218="","",InputPlayers!E219)</x:f>
      </x:c>
      <x:c r="F218" s="44">
        <x:f>IF($A218="","",COUNTIFS(InputPlayers!$A$6:$A$305,$A218,InputPlayers!$B$6:$B$305,$B218,InputPlayers!$C$6:$C$305,$C218,InputPlayers!$D$6:$D$305,$D218,InputPlayers!$O$6:$O$305,"Да"))</x:f>
      </x:c>
      <x:c r="G218" s="44">
        <x:f>IF($A218="","",SUMIFS(InputPlayers!$N$6:$N$305,InputPlayers!$A$6:$A$305,$A218,InputPlayers!$B$6:$B$305,$B218,InputPlayers!$C$6:$C$305,$C218,InputPlayers!$D$6:$D$305,$D218,InputPlayers!$O$6:$O$305,"Да"))</x:f>
      </x:c>
      <x:c r="H218" s="44">
        <x:f>IF(InputPlayers!A219="","",TEXT(InputPlayers!A219,"dd.mm.yyyy")&amp;"|"&amp;InputPlayers!B219&amp;"|"&amp;InputPlayers!C219&amp;"|"&amp;InputPlayers!D219)</x:f>
      </x:c>
    </x:row>
    <x:row r="219">
      <x:c r="A219" s="42">
        <x:f>IF(H219="","",IF(COUNTIF($H$5:H219,H219)&gt;1,"",InputPlayers!A220))</x:f>
      </x:c>
      <x:c r="B219" s="43">
        <x:f>IF($A219="","",InputPlayers!B220)</x:f>
      </x:c>
      <x:c r="C219" s="43">
        <x:f>IF($A219="","",InputPlayers!C220)</x:f>
      </x:c>
      <x:c r="D219" s="44">
        <x:f>IF($A219="","",InputPlayers!D220)</x:f>
      </x:c>
      <x:c r="E219" s="44">
        <x:f>IF($A219="","",InputPlayers!E220)</x:f>
      </x:c>
      <x:c r="F219" s="44">
        <x:f>IF($A219="","",COUNTIFS(InputPlayers!$A$6:$A$305,$A219,InputPlayers!$B$6:$B$305,$B219,InputPlayers!$C$6:$C$305,$C219,InputPlayers!$D$6:$D$305,$D219,InputPlayers!$O$6:$O$305,"Да"))</x:f>
      </x:c>
      <x:c r="G219" s="44">
        <x:f>IF($A219="","",SUMIFS(InputPlayers!$N$6:$N$305,InputPlayers!$A$6:$A$305,$A219,InputPlayers!$B$6:$B$305,$B219,InputPlayers!$C$6:$C$305,$C219,InputPlayers!$D$6:$D$305,$D219,InputPlayers!$O$6:$O$305,"Да"))</x:f>
      </x:c>
      <x:c r="H219" s="44">
        <x:f>IF(InputPlayers!A220="","",TEXT(InputPlayers!A220,"dd.mm.yyyy")&amp;"|"&amp;InputPlayers!B220&amp;"|"&amp;InputPlayers!C220&amp;"|"&amp;InputPlayers!D220)</x:f>
      </x:c>
    </x:row>
    <x:row r="220">
      <x:c r="A220" s="42">
        <x:f>IF(H220="","",IF(COUNTIF($H$5:H220,H220)&gt;1,"",InputPlayers!A221))</x:f>
      </x:c>
      <x:c r="B220" s="43">
        <x:f>IF($A220="","",InputPlayers!B221)</x:f>
      </x:c>
      <x:c r="C220" s="43">
        <x:f>IF($A220="","",InputPlayers!C221)</x:f>
      </x:c>
      <x:c r="D220" s="44">
        <x:f>IF($A220="","",InputPlayers!D221)</x:f>
      </x:c>
      <x:c r="E220" s="44">
        <x:f>IF($A220="","",InputPlayers!E221)</x:f>
      </x:c>
      <x:c r="F220" s="44">
        <x:f>IF($A220="","",COUNTIFS(InputPlayers!$A$6:$A$305,$A220,InputPlayers!$B$6:$B$305,$B220,InputPlayers!$C$6:$C$305,$C220,InputPlayers!$D$6:$D$305,$D220,InputPlayers!$O$6:$O$305,"Да"))</x:f>
      </x:c>
      <x:c r="G220" s="44">
        <x:f>IF($A220="","",SUMIFS(InputPlayers!$N$6:$N$305,InputPlayers!$A$6:$A$305,$A220,InputPlayers!$B$6:$B$305,$B220,InputPlayers!$C$6:$C$305,$C220,InputPlayers!$D$6:$D$305,$D220,InputPlayers!$O$6:$O$305,"Да"))</x:f>
      </x:c>
      <x:c r="H220" s="44">
        <x:f>IF(InputPlayers!A221="","",TEXT(InputPlayers!A221,"dd.mm.yyyy")&amp;"|"&amp;InputPlayers!B221&amp;"|"&amp;InputPlayers!C221&amp;"|"&amp;InputPlayers!D221)</x:f>
      </x:c>
    </x:row>
    <x:row r="221">
      <x:c r="A221" s="42">
        <x:f>IF(H221="","",IF(COUNTIF($H$5:H221,H221)&gt;1,"",InputPlayers!A222))</x:f>
      </x:c>
      <x:c r="B221" s="43">
        <x:f>IF($A221="","",InputPlayers!B222)</x:f>
      </x:c>
      <x:c r="C221" s="43">
        <x:f>IF($A221="","",InputPlayers!C222)</x:f>
      </x:c>
      <x:c r="D221" s="44">
        <x:f>IF($A221="","",InputPlayers!D222)</x:f>
      </x:c>
      <x:c r="E221" s="44">
        <x:f>IF($A221="","",InputPlayers!E222)</x:f>
      </x:c>
      <x:c r="F221" s="44">
        <x:f>IF($A221="","",COUNTIFS(InputPlayers!$A$6:$A$305,$A221,InputPlayers!$B$6:$B$305,$B221,InputPlayers!$C$6:$C$305,$C221,InputPlayers!$D$6:$D$305,$D221,InputPlayers!$O$6:$O$305,"Да"))</x:f>
      </x:c>
      <x:c r="G221" s="44">
        <x:f>IF($A221="","",SUMIFS(InputPlayers!$N$6:$N$305,InputPlayers!$A$6:$A$305,$A221,InputPlayers!$B$6:$B$305,$B221,InputPlayers!$C$6:$C$305,$C221,InputPlayers!$D$6:$D$305,$D221,InputPlayers!$O$6:$O$305,"Да"))</x:f>
      </x:c>
      <x:c r="H221" s="44">
        <x:f>IF(InputPlayers!A222="","",TEXT(InputPlayers!A222,"dd.mm.yyyy")&amp;"|"&amp;InputPlayers!B222&amp;"|"&amp;InputPlayers!C222&amp;"|"&amp;InputPlayers!D222)</x:f>
      </x:c>
    </x:row>
    <x:row r="222">
      <x:c r="A222" s="42">
        <x:f>IF(H222="","",IF(COUNTIF($H$5:H222,H222)&gt;1,"",InputPlayers!A223))</x:f>
      </x:c>
      <x:c r="B222" s="43">
        <x:f>IF($A222="","",InputPlayers!B223)</x:f>
      </x:c>
      <x:c r="C222" s="43">
        <x:f>IF($A222="","",InputPlayers!C223)</x:f>
      </x:c>
      <x:c r="D222" s="44">
        <x:f>IF($A222="","",InputPlayers!D223)</x:f>
      </x:c>
      <x:c r="E222" s="44">
        <x:f>IF($A222="","",InputPlayers!E223)</x:f>
      </x:c>
      <x:c r="F222" s="44">
        <x:f>IF($A222="","",COUNTIFS(InputPlayers!$A$6:$A$305,$A222,InputPlayers!$B$6:$B$305,$B222,InputPlayers!$C$6:$C$305,$C222,InputPlayers!$D$6:$D$305,$D222,InputPlayers!$O$6:$O$305,"Да"))</x:f>
      </x:c>
      <x:c r="G222" s="44">
        <x:f>IF($A222="","",SUMIFS(InputPlayers!$N$6:$N$305,InputPlayers!$A$6:$A$305,$A222,InputPlayers!$B$6:$B$305,$B222,InputPlayers!$C$6:$C$305,$C222,InputPlayers!$D$6:$D$305,$D222,InputPlayers!$O$6:$O$305,"Да"))</x:f>
      </x:c>
      <x:c r="H222" s="44">
        <x:f>IF(InputPlayers!A223="","",TEXT(InputPlayers!A223,"dd.mm.yyyy")&amp;"|"&amp;InputPlayers!B223&amp;"|"&amp;InputPlayers!C223&amp;"|"&amp;InputPlayers!D223)</x:f>
      </x:c>
    </x:row>
    <x:row r="223">
      <x:c r="A223" s="42">
        <x:f>IF(H223="","",IF(COUNTIF($H$5:H223,H223)&gt;1,"",InputPlayers!A224))</x:f>
      </x:c>
      <x:c r="B223" s="43">
        <x:f>IF($A223="","",InputPlayers!B224)</x:f>
      </x:c>
      <x:c r="C223" s="43">
        <x:f>IF($A223="","",InputPlayers!C224)</x:f>
      </x:c>
      <x:c r="D223" s="44">
        <x:f>IF($A223="","",InputPlayers!D224)</x:f>
      </x:c>
      <x:c r="E223" s="44">
        <x:f>IF($A223="","",InputPlayers!E224)</x:f>
      </x:c>
      <x:c r="F223" s="44">
        <x:f>IF($A223="","",COUNTIFS(InputPlayers!$A$6:$A$305,$A223,InputPlayers!$B$6:$B$305,$B223,InputPlayers!$C$6:$C$305,$C223,InputPlayers!$D$6:$D$305,$D223,InputPlayers!$O$6:$O$305,"Да"))</x:f>
      </x:c>
      <x:c r="G223" s="44">
        <x:f>IF($A223="","",SUMIFS(InputPlayers!$N$6:$N$305,InputPlayers!$A$6:$A$305,$A223,InputPlayers!$B$6:$B$305,$B223,InputPlayers!$C$6:$C$305,$C223,InputPlayers!$D$6:$D$305,$D223,InputPlayers!$O$6:$O$305,"Да"))</x:f>
      </x:c>
      <x:c r="H223" s="44">
        <x:f>IF(InputPlayers!A224="","",TEXT(InputPlayers!A224,"dd.mm.yyyy")&amp;"|"&amp;InputPlayers!B224&amp;"|"&amp;InputPlayers!C224&amp;"|"&amp;InputPlayers!D224)</x:f>
      </x:c>
    </x:row>
    <x:row r="224">
      <x:c r="A224" s="42">
        <x:f>IF(H224="","",IF(COUNTIF($H$5:H224,H224)&gt;1,"",InputPlayers!A225))</x:f>
      </x:c>
      <x:c r="B224" s="43">
        <x:f>IF($A224="","",InputPlayers!B225)</x:f>
      </x:c>
      <x:c r="C224" s="43">
        <x:f>IF($A224="","",InputPlayers!C225)</x:f>
      </x:c>
      <x:c r="D224" s="44">
        <x:f>IF($A224="","",InputPlayers!D225)</x:f>
      </x:c>
      <x:c r="E224" s="44">
        <x:f>IF($A224="","",InputPlayers!E225)</x:f>
      </x:c>
      <x:c r="F224" s="44">
        <x:f>IF($A224="","",COUNTIFS(InputPlayers!$A$6:$A$305,$A224,InputPlayers!$B$6:$B$305,$B224,InputPlayers!$C$6:$C$305,$C224,InputPlayers!$D$6:$D$305,$D224,InputPlayers!$O$6:$O$305,"Да"))</x:f>
      </x:c>
      <x:c r="G224" s="44">
        <x:f>IF($A224="","",SUMIFS(InputPlayers!$N$6:$N$305,InputPlayers!$A$6:$A$305,$A224,InputPlayers!$B$6:$B$305,$B224,InputPlayers!$C$6:$C$305,$C224,InputPlayers!$D$6:$D$305,$D224,InputPlayers!$O$6:$O$305,"Да"))</x:f>
      </x:c>
      <x:c r="H224" s="44">
        <x:f>IF(InputPlayers!A225="","",TEXT(InputPlayers!A225,"dd.mm.yyyy")&amp;"|"&amp;InputPlayers!B225&amp;"|"&amp;InputPlayers!C225&amp;"|"&amp;InputPlayers!D225)</x:f>
      </x:c>
    </x:row>
    <x:row r="225">
      <x:c r="A225" s="42">
        <x:f>IF(H225="","",IF(COUNTIF($H$5:H225,H225)&gt;1,"",InputPlayers!A226))</x:f>
      </x:c>
      <x:c r="B225" s="43">
        <x:f>IF($A225="","",InputPlayers!B226)</x:f>
      </x:c>
      <x:c r="C225" s="43">
        <x:f>IF($A225="","",InputPlayers!C226)</x:f>
      </x:c>
      <x:c r="D225" s="44">
        <x:f>IF($A225="","",InputPlayers!D226)</x:f>
      </x:c>
      <x:c r="E225" s="44">
        <x:f>IF($A225="","",InputPlayers!E226)</x:f>
      </x:c>
      <x:c r="F225" s="44">
        <x:f>IF($A225="","",COUNTIFS(InputPlayers!$A$6:$A$305,$A225,InputPlayers!$B$6:$B$305,$B225,InputPlayers!$C$6:$C$305,$C225,InputPlayers!$D$6:$D$305,$D225,InputPlayers!$O$6:$O$305,"Да"))</x:f>
      </x:c>
      <x:c r="G225" s="44">
        <x:f>IF($A225="","",SUMIFS(InputPlayers!$N$6:$N$305,InputPlayers!$A$6:$A$305,$A225,InputPlayers!$B$6:$B$305,$B225,InputPlayers!$C$6:$C$305,$C225,InputPlayers!$D$6:$D$305,$D225,InputPlayers!$O$6:$O$305,"Да"))</x:f>
      </x:c>
      <x:c r="H225" s="44">
        <x:f>IF(InputPlayers!A226="","",TEXT(InputPlayers!A226,"dd.mm.yyyy")&amp;"|"&amp;InputPlayers!B226&amp;"|"&amp;InputPlayers!C226&amp;"|"&amp;InputPlayers!D226)</x:f>
      </x:c>
    </x:row>
    <x:row r="226">
      <x:c r="A226" s="42">
        <x:f>IF(H226="","",IF(COUNTIF($H$5:H226,H226)&gt;1,"",InputPlayers!A227))</x:f>
      </x:c>
      <x:c r="B226" s="43">
        <x:f>IF($A226="","",InputPlayers!B227)</x:f>
      </x:c>
      <x:c r="C226" s="43">
        <x:f>IF($A226="","",InputPlayers!C227)</x:f>
      </x:c>
      <x:c r="D226" s="44">
        <x:f>IF($A226="","",InputPlayers!D227)</x:f>
      </x:c>
      <x:c r="E226" s="44">
        <x:f>IF($A226="","",InputPlayers!E227)</x:f>
      </x:c>
      <x:c r="F226" s="44">
        <x:f>IF($A226="","",COUNTIFS(InputPlayers!$A$6:$A$305,$A226,InputPlayers!$B$6:$B$305,$B226,InputPlayers!$C$6:$C$305,$C226,InputPlayers!$D$6:$D$305,$D226,InputPlayers!$O$6:$O$305,"Да"))</x:f>
      </x:c>
      <x:c r="G226" s="44">
        <x:f>IF($A226="","",SUMIFS(InputPlayers!$N$6:$N$305,InputPlayers!$A$6:$A$305,$A226,InputPlayers!$B$6:$B$305,$B226,InputPlayers!$C$6:$C$305,$C226,InputPlayers!$D$6:$D$305,$D226,InputPlayers!$O$6:$O$305,"Да"))</x:f>
      </x:c>
      <x:c r="H226" s="44">
        <x:f>IF(InputPlayers!A227="","",TEXT(InputPlayers!A227,"dd.mm.yyyy")&amp;"|"&amp;InputPlayers!B227&amp;"|"&amp;InputPlayers!C227&amp;"|"&amp;InputPlayers!D227)</x:f>
      </x:c>
    </x:row>
    <x:row r="227">
      <x:c r="A227" s="42">
        <x:f>IF(H227="","",IF(COUNTIF($H$5:H227,H227)&gt;1,"",InputPlayers!A228))</x:f>
      </x:c>
      <x:c r="B227" s="43">
        <x:f>IF($A227="","",InputPlayers!B228)</x:f>
      </x:c>
      <x:c r="C227" s="43">
        <x:f>IF($A227="","",InputPlayers!C228)</x:f>
      </x:c>
      <x:c r="D227" s="44">
        <x:f>IF($A227="","",InputPlayers!D228)</x:f>
      </x:c>
      <x:c r="E227" s="44">
        <x:f>IF($A227="","",InputPlayers!E228)</x:f>
      </x:c>
      <x:c r="F227" s="44">
        <x:f>IF($A227="","",COUNTIFS(InputPlayers!$A$6:$A$305,$A227,InputPlayers!$B$6:$B$305,$B227,InputPlayers!$C$6:$C$305,$C227,InputPlayers!$D$6:$D$305,$D227,InputPlayers!$O$6:$O$305,"Да"))</x:f>
      </x:c>
      <x:c r="G227" s="44">
        <x:f>IF($A227="","",SUMIFS(InputPlayers!$N$6:$N$305,InputPlayers!$A$6:$A$305,$A227,InputPlayers!$B$6:$B$305,$B227,InputPlayers!$C$6:$C$305,$C227,InputPlayers!$D$6:$D$305,$D227,InputPlayers!$O$6:$O$305,"Да"))</x:f>
      </x:c>
      <x:c r="H227" s="44">
        <x:f>IF(InputPlayers!A228="","",TEXT(InputPlayers!A228,"dd.mm.yyyy")&amp;"|"&amp;InputPlayers!B228&amp;"|"&amp;InputPlayers!C228&amp;"|"&amp;InputPlayers!D228)</x:f>
      </x:c>
    </x:row>
    <x:row r="228">
      <x:c r="A228" s="42">
        <x:f>IF(H228="","",IF(COUNTIF($H$5:H228,H228)&gt;1,"",InputPlayers!A229))</x:f>
      </x:c>
      <x:c r="B228" s="43">
        <x:f>IF($A228="","",InputPlayers!B229)</x:f>
      </x:c>
      <x:c r="C228" s="43">
        <x:f>IF($A228="","",InputPlayers!C229)</x:f>
      </x:c>
      <x:c r="D228" s="44">
        <x:f>IF($A228="","",InputPlayers!D229)</x:f>
      </x:c>
      <x:c r="E228" s="44">
        <x:f>IF($A228="","",InputPlayers!E229)</x:f>
      </x:c>
      <x:c r="F228" s="44">
        <x:f>IF($A228="","",COUNTIFS(InputPlayers!$A$6:$A$305,$A228,InputPlayers!$B$6:$B$305,$B228,InputPlayers!$C$6:$C$305,$C228,InputPlayers!$D$6:$D$305,$D228,InputPlayers!$O$6:$O$305,"Да"))</x:f>
      </x:c>
      <x:c r="G228" s="44">
        <x:f>IF($A228="","",SUMIFS(InputPlayers!$N$6:$N$305,InputPlayers!$A$6:$A$305,$A228,InputPlayers!$B$6:$B$305,$B228,InputPlayers!$C$6:$C$305,$C228,InputPlayers!$D$6:$D$305,$D228,InputPlayers!$O$6:$O$305,"Да"))</x:f>
      </x:c>
      <x:c r="H228" s="44">
        <x:f>IF(InputPlayers!A229="","",TEXT(InputPlayers!A229,"dd.mm.yyyy")&amp;"|"&amp;InputPlayers!B229&amp;"|"&amp;InputPlayers!C229&amp;"|"&amp;InputPlayers!D229)</x:f>
      </x:c>
    </x:row>
    <x:row r="229">
      <x:c r="A229" s="42">
        <x:f>IF(H229="","",IF(COUNTIF($H$5:H229,H229)&gt;1,"",InputPlayers!A230))</x:f>
      </x:c>
      <x:c r="B229" s="43">
        <x:f>IF($A229="","",InputPlayers!B230)</x:f>
      </x:c>
      <x:c r="C229" s="43">
        <x:f>IF($A229="","",InputPlayers!C230)</x:f>
      </x:c>
      <x:c r="D229" s="44">
        <x:f>IF($A229="","",InputPlayers!D230)</x:f>
      </x:c>
      <x:c r="E229" s="44">
        <x:f>IF($A229="","",InputPlayers!E230)</x:f>
      </x:c>
      <x:c r="F229" s="44">
        <x:f>IF($A229="","",COUNTIFS(InputPlayers!$A$6:$A$305,$A229,InputPlayers!$B$6:$B$305,$B229,InputPlayers!$C$6:$C$305,$C229,InputPlayers!$D$6:$D$305,$D229,InputPlayers!$O$6:$O$305,"Да"))</x:f>
      </x:c>
      <x:c r="G229" s="44">
        <x:f>IF($A229="","",SUMIFS(InputPlayers!$N$6:$N$305,InputPlayers!$A$6:$A$305,$A229,InputPlayers!$B$6:$B$305,$B229,InputPlayers!$C$6:$C$305,$C229,InputPlayers!$D$6:$D$305,$D229,InputPlayers!$O$6:$O$305,"Да"))</x:f>
      </x:c>
      <x:c r="H229" s="44">
        <x:f>IF(InputPlayers!A230="","",TEXT(InputPlayers!A230,"dd.mm.yyyy")&amp;"|"&amp;InputPlayers!B230&amp;"|"&amp;InputPlayers!C230&amp;"|"&amp;InputPlayers!D230)</x:f>
      </x:c>
    </x:row>
    <x:row r="230">
      <x:c r="A230" s="42">
        <x:f>IF(H230="","",IF(COUNTIF($H$5:H230,H230)&gt;1,"",InputPlayers!A231))</x:f>
      </x:c>
      <x:c r="B230" s="43">
        <x:f>IF($A230="","",InputPlayers!B231)</x:f>
      </x:c>
      <x:c r="C230" s="43">
        <x:f>IF($A230="","",InputPlayers!C231)</x:f>
      </x:c>
      <x:c r="D230" s="44">
        <x:f>IF($A230="","",InputPlayers!D231)</x:f>
      </x:c>
      <x:c r="E230" s="44">
        <x:f>IF($A230="","",InputPlayers!E231)</x:f>
      </x:c>
      <x:c r="F230" s="44">
        <x:f>IF($A230="","",COUNTIFS(InputPlayers!$A$6:$A$305,$A230,InputPlayers!$B$6:$B$305,$B230,InputPlayers!$C$6:$C$305,$C230,InputPlayers!$D$6:$D$305,$D230,InputPlayers!$O$6:$O$305,"Да"))</x:f>
      </x:c>
      <x:c r="G230" s="44">
        <x:f>IF($A230="","",SUMIFS(InputPlayers!$N$6:$N$305,InputPlayers!$A$6:$A$305,$A230,InputPlayers!$B$6:$B$305,$B230,InputPlayers!$C$6:$C$305,$C230,InputPlayers!$D$6:$D$305,$D230,InputPlayers!$O$6:$O$305,"Да"))</x:f>
      </x:c>
      <x:c r="H230" s="44">
        <x:f>IF(InputPlayers!A231="","",TEXT(InputPlayers!A231,"dd.mm.yyyy")&amp;"|"&amp;InputPlayers!B231&amp;"|"&amp;InputPlayers!C231&amp;"|"&amp;InputPlayers!D231)</x:f>
      </x:c>
    </x:row>
    <x:row r="231">
      <x:c r="A231" s="42">
        <x:f>IF(H231="","",IF(COUNTIF($H$5:H231,H231)&gt;1,"",InputPlayers!A232))</x:f>
      </x:c>
      <x:c r="B231" s="43">
        <x:f>IF($A231="","",InputPlayers!B232)</x:f>
      </x:c>
      <x:c r="C231" s="43">
        <x:f>IF($A231="","",InputPlayers!C232)</x:f>
      </x:c>
      <x:c r="D231" s="44">
        <x:f>IF($A231="","",InputPlayers!D232)</x:f>
      </x:c>
      <x:c r="E231" s="44">
        <x:f>IF($A231="","",InputPlayers!E232)</x:f>
      </x:c>
      <x:c r="F231" s="44">
        <x:f>IF($A231="","",COUNTIFS(InputPlayers!$A$6:$A$305,$A231,InputPlayers!$B$6:$B$305,$B231,InputPlayers!$C$6:$C$305,$C231,InputPlayers!$D$6:$D$305,$D231,InputPlayers!$O$6:$O$305,"Да"))</x:f>
      </x:c>
      <x:c r="G231" s="44">
        <x:f>IF($A231="","",SUMIFS(InputPlayers!$N$6:$N$305,InputPlayers!$A$6:$A$305,$A231,InputPlayers!$B$6:$B$305,$B231,InputPlayers!$C$6:$C$305,$C231,InputPlayers!$D$6:$D$305,$D231,InputPlayers!$O$6:$O$305,"Да"))</x:f>
      </x:c>
      <x:c r="H231" s="44">
        <x:f>IF(InputPlayers!A232="","",TEXT(InputPlayers!A232,"dd.mm.yyyy")&amp;"|"&amp;InputPlayers!B232&amp;"|"&amp;InputPlayers!C232&amp;"|"&amp;InputPlayers!D232)</x:f>
      </x:c>
    </x:row>
    <x:row r="232">
      <x:c r="A232" s="42">
        <x:f>IF(H232="","",IF(COUNTIF($H$5:H232,H232)&gt;1,"",InputPlayers!A233))</x:f>
      </x:c>
      <x:c r="B232" s="43">
        <x:f>IF($A232="","",InputPlayers!B233)</x:f>
      </x:c>
      <x:c r="C232" s="43">
        <x:f>IF($A232="","",InputPlayers!C233)</x:f>
      </x:c>
      <x:c r="D232" s="44">
        <x:f>IF($A232="","",InputPlayers!D233)</x:f>
      </x:c>
      <x:c r="E232" s="44">
        <x:f>IF($A232="","",InputPlayers!E233)</x:f>
      </x:c>
      <x:c r="F232" s="44">
        <x:f>IF($A232="","",COUNTIFS(InputPlayers!$A$6:$A$305,$A232,InputPlayers!$B$6:$B$305,$B232,InputPlayers!$C$6:$C$305,$C232,InputPlayers!$D$6:$D$305,$D232,InputPlayers!$O$6:$O$305,"Да"))</x:f>
      </x:c>
      <x:c r="G232" s="44">
        <x:f>IF($A232="","",SUMIFS(InputPlayers!$N$6:$N$305,InputPlayers!$A$6:$A$305,$A232,InputPlayers!$B$6:$B$305,$B232,InputPlayers!$C$6:$C$305,$C232,InputPlayers!$D$6:$D$305,$D232,InputPlayers!$O$6:$O$305,"Да"))</x:f>
      </x:c>
      <x:c r="H232" s="44">
        <x:f>IF(InputPlayers!A233="","",TEXT(InputPlayers!A233,"dd.mm.yyyy")&amp;"|"&amp;InputPlayers!B233&amp;"|"&amp;InputPlayers!C233&amp;"|"&amp;InputPlayers!D233)</x:f>
      </x:c>
    </x:row>
    <x:row r="233">
      <x:c r="A233" s="42">
        <x:f>IF(H233="","",IF(COUNTIF($H$5:H233,H233)&gt;1,"",InputPlayers!A234))</x:f>
      </x:c>
      <x:c r="B233" s="43">
        <x:f>IF($A233="","",InputPlayers!B234)</x:f>
      </x:c>
      <x:c r="C233" s="43">
        <x:f>IF($A233="","",InputPlayers!C234)</x:f>
      </x:c>
      <x:c r="D233" s="44">
        <x:f>IF($A233="","",InputPlayers!D234)</x:f>
      </x:c>
      <x:c r="E233" s="44">
        <x:f>IF($A233="","",InputPlayers!E234)</x:f>
      </x:c>
      <x:c r="F233" s="44">
        <x:f>IF($A233="","",COUNTIFS(InputPlayers!$A$6:$A$305,$A233,InputPlayers!$B$6:$B$305,$B233,InputPlayers!$C$6:$C$305,$C233,InputPlayers!$D$6:$D$305,$D233,InputPlayers!$O$6:$O$305,"Да"))</x:f>
      </x:c>
      <x:c r="G233" s="44">
        <x:f>IF($A233="","",SUMIFS(InputPlayers!$N$6:$N$305,InputPlayers!$A$6:$A$305,$A233,InputPlayers!$B$6:$B$305,$B233,InputPlayers!$C$6:$C$305,$C233,InputPlayers!$D$6:$D$305,$D233,InputPlayers!$O$6:$O$305,"Да"))</x:f>
      </x:c>
      <x:c r="H233" s="44">
        <x:f>IF(InputPlayers!A234="","",TEXT(InputPlayers!A234,"dd.mm.yyyy")&amp;"|"&amp;InputPlayers!B234&amp;"|"&amp;InputPlayers!C234&amp;"|"&amp;InputPlayers!D234)</x:f>
      </x:c>
    </x:row>
    <x:row r="234">
      <x:c r="A234" s="42">
        <x:f>IF(H234="","",IF(COUNTIF($H$5:H234,H234)&gt;1,"",InputPlayers!A235))</x:f>
      </x:c>
      <x:c r="B234" s="43">
        <x:f>IF($A234="","",InputPlayers!B235)</x:f>
      </x:c>
      <x:c r="C234" s="43">
        <x:f>IF($A234="","",InputPlayers!C235)</x:f>
      </x:c>
      <x:c r="D234" s="44">
        <x:f>IF($A234="","",InputPlayers!D235)</x:f>
      </x:c>
      <x:c r="E234" s="44">
        <x:f>IF($A234="","",InputPlayers!E235)</x:f>
      </x:c>
      <x:c r="F234" s="44">
        <x:f>IF($A234="","",COUNTIFS(InputPlayers!$A$6:$A$305,$A234,InputPlayers!$B$6:$B$305,$B234,InputPlayers!$C$6:$C$305,$C234,InputPlayers!$D$6:$D$305,$D234,InputPlayers!$O$6:$O$305,"Да"))</x:f>
      </x:c>
      <x:c r="G234" s="44">
        <x:f>IF($A234="","",SUMIFS(InputPlayers!$N$6:$N$305,InputPlayers!$A$6:$A$305,$A234,InputPlayers!$B$6:$B$305,$B234,InputPlayers!$C$6:$C$305,$C234,InputPlayers!$D$6:$D$305,$D234,InputPlayers!$O$6:$O$305,"Да"))</x:f>
      </x:c>
      <x:c r="H234" s="44">
        <x:f>IF(InputPlayers!A235="","",TEXT(InputPlayers!A235,"dd.mm.yyyy")&amp;"|"&amp;InputPlayers!B235&amp;"|"&amp;InputPlayers!C235&amp;"|"&amp;InputPlayers!D235)</x:f>
      </x:c>
    </x:row>
    <x:row r="235">
      <x:c r="A235" s="42">
        <x:f>IF(H235="","",IF(COUNTIF($H$5:H235,H235)&gt;1,"",InputPlayers!A236))</x:f>
      </x:c>
      <x:c r="B235" s="43">
        <x:f>IF($A235="","",InputPlayers!B236)</x:f>
      </x:c>
      <x:c r="C235" s="43">
        <x:f>IF($A235="","",InputPlayers!C236)</x:f>
      </x:c>
      <x:c r="D235" s="44">
        <x:f>IF($A235="","",InputPlayers!D236)</x:f>
      </x:c>
      <x:c r="E235" s="44">
        <x:f>IF($A235="","",InputPlayers!E236)</x:f>
      </x:c>
      <x:c r="F235" s="44">
        <x:f>IF($A235="","",COUNTIFS(InputPlayers!$A$6:$A$305,$A235,InputPlayers!$B$6:$B$305,$B235,InputPlayers!$C$6:$C$305,$C235,InputPlayers!$D$6:$D$305,$D235,InputPlayers!$O$6:$O$305,"Да"))</x:f>
      </x:c>
      <x:c r="G235" s="44">
        <x:f>IF($A235="","",SUMIFS(InputPlayers!$N$6:$N$305,InputPlayers!$A$6:$A$305,$A235,InputPlayers!$B$6:$B$305,$B235,InputPlayers!$C$6:$C$305,$C235,InputPlayers!$D$6:$D$305,$D235,InputPlayers!$O$6:$O$305,"Да"))</x:f>
      </x:c>
      <x:c r="H235" s="44">
        <x:f>IF(InputPlayers!A236="","",TEXT(InputPlayers!A236,"dd.mm.yyyy")&amp;"|"&amp;InputPlayers!B236&amp;"|"&amp;InputPlayers!C236&amp;"|"&amp;InputPlayers!D236)</x:f>
      </x:c>
    </x:row>
    <x:row r="236">
      <x:c r="A236" s="42">
        <x:f>IF(H236="","",IF(COUNTIF($H$5:H236,H236)&gt;1,"",InputPlayers!A237))</x:f>
      </x:c>
      <x:c r="B236" s="43">
        <x:f>IF($A236="","",InputPlayers!B237)</x:f>
      </x:c>
      <x:c r="C236" s="43">
        <x:f>IF($A236="","",InputPlayers!C237)</x:f>
      </x:c>
      <x:c r="D236" s="44">
        <x:f>IF($A236="","",InputPlayers!D237)</x:f>
      </x:c>
      <x:c r="E236" s="44">
        <x:f>IF($A236="","",InputPlayers!E237)</x:f>
      </x:c>
      <x:c r="F236" s="44">
        <x:f>IF($A236="","",COUNTIFS(InputPlayers!$A$6:$A$305,$A236,InputPlayers!$B$6:$B$305,$B236,InputPlayers!$C$6:$C$305,$C236,InputPlayers!$D$6:$D$305,$D236,InputPlayers!$O$6:$O$305,"Да"))</x:f>
      </x:c>
      <x:c r="G236" s="44">
        <x:f>IF($A236="","",SUMIFS(InputPlayers!$N$6:$N$305,InputPlayers!$A$6:$A$305,$A236,InputPlayers!$B$6:$B$305,$B236,InputPlayers!$C$6:$C$305,$C236,InputPlayers!$D$6:$D$305,$D236,InputPlayers!$O$6:$O$305,"Да"))</x:f>
      </x:c>
      <x:c r="H236" s="44">
        <x:f>IF(InputPlayers!A237="","",TEXT(InputPlayers!A237,"dd.mm.yyyy")&amp;"|"&amp;InputPlayers!B237&amp;"|"&amp;InputPlayers!C237&amp;"|"&amp;InputPlayers!D237)</x:f>
      </x:c>
    </x:row>
    <x:row r="237">
      <x:c r="A237" s="42">
        <x:f>IF(H237="","",IF(COUNTIF($H$5:H237,H237)&gt;1,"",InputPlayers!A238))</x:f>
      </x:c>
      <x:c r="B237" s="43">
        <x:f>IF($A237="","",InputPlayers!B238)</x:f>
      </x:c>
      <x:c r="C237" s="43">
        <x:f>IF($A237="","",InputPlayers!C238)</x:f>
      </x:c>
      <x:c r="D237" s="44">
        <x:f>IF($A237="","",InputPlayers!D238)</x:f>
      </x:c>
      <x:c r="E237" s="44">
        <x:f>IF($A237="","",InputPlayers!E238)</x:f>
      </x:c>
      <x:c r="F237" s="44">
        <x:f>IF($A237="","",COUNTIFS(InputPlayers!$A$6:$A$305,$A237,InputPlayers!$B$6:$B$305,$B237,InputPlayers!$C$6:$C$305,$C237,InputPlayers!$D$6:$D$305,$D237,InputPlayers!$O$6:$O$305,"Да"))</x:f>
      </x:c>
      <x:c r="G237" s="44">
        <x:f>IF($A237="","",SUMIFS(InputPlayers!$N$6:$N$305,InputPlayers!$A$6:$A$305,$A237,InputPlayers!$B$6:$B$305,$B237,InputPlayers!$C$6:$C$305,$C237,InputPlayers!$D$6:$D$305,$D237,InputPlayers!$O$6:$O$305,"Да"))</x:f>
      </x:c>
      <x:c r="H237" s="44">
        <x:f>IF(InputPlayers!A238="","",TEXT(InputPlayers!A238,"dd.mm.yyyy")&amp;"|"&amp;InputPlayers!B238&amp;"|"&amp;InputPlayers!C238&amp;"|"&amp;InputPlayers!D238)</x:f>
      </x:c>
    </x:row>
    <x:row r="238">
      <x:c r="A238" s="42">
        <x:f>IF(H238="","",IF(COUNTIF($H$5:H238,H238)&gt;1,"",InputPlayers!A239))</x:f>
      </x:c>
      <x:c r="B238" s="43">
        <x:f>IF($A238="","",InputPlayers!B239)</x:f>
      </x:c>
      <x:c r="C238" s="43">
        <x:f>IF($A238="","",InputPlayers!C239)</x:f>
      </x:c>
      <x:c r="D238" s="44">
        <x:f>IF($A238="","",InputPlayers!D239)</x:f>
      </x:c>
      <x:c r="E238" s="44">
        <x:f>IF($A238="","",InputPlayers!E239)</x:f>
      </x:c>
      <x:c r="F238" s="44">
        <x:f>IF($A238="","",COUNTIFS(InputPlayers!$A$6:$A$305,$A238,InputPlayers!$B$6:$B$305,$B238,InputPlayers!$C$6:$C$305,$C238,InputPlayers!$D$6:$D$305,$D238,InputPlayers!$O$6:$O$305,"Да"))</x:f>
      </x:c>
      <x:c r="G238" s="44">
        <x:f>IF($A238="","",SUMIFS(InputPlayers!$N$6:$N$305,InputPlayers!$A$6:$A$305,$A238,InputPlayers!$B$6:$B$305,$B238,InputPlayers!$C$6:$C$305,$C238,InputPlayers!$D$6:$D$305,$D238,InputPlayers!$O$6:$O$305,"Да"))</x:f>
      </x:c>
      <x:c r="H238" s="44">
        <x:f>IF(InputPlayers!A239="","",TEXT(InputPlayers!A239,"dd.mm.yyyy")&amp;"|"&amp;InputPlayers!B239&amp;"|"&amp;InputPlayers!C239&amp;"|"&amp;InputPlayers!D239)</x:f>
      </x:c>
    </x:row>
    <x:row r="239">
      <x:c r="A239" s="42">
        <x:f>IF(H239="","",IF(COUNTIF($H$5:H239,H239)&gt;1,"",InputPlayers!A240))</x:f>
      </x:c>
      <x:c r="B239" s="43">
        <x:f>IF($A239="","",InputPlayers!B240)</x:f>
      </x:c>
      <x:c r="C239" s="43">
        <x:f>IF($A239="","",InputPlayers!C240)</x:f>
      </x:c>
      <x:c r="D239" s="44">
        <x:f>IF($A239="","",InputPlayers!D240)</x:f>
      </x:c>
      <x:c r="E239" s="44">
        <x:f>IF($A239="","",InputPlayers!E240)</x:f>
      </x:c>
      <x:c r="F239" s="44">
        <x:f>IF($A239="","",COUNTIFS(InputPlayers!$A$6:$A$305,$A239,InputPlayers!$B$6:$B$305,$B239,InputPlayers!$C$6:$C$305,$C239,InputPlayers!$D$6:$D$305,$D239,InputPlayers!$O$6:$O$305,"Да"))</x:f>
      </x:c>
      <x:c r="G239" s="44">
        <x:f>IF($A239="","",SUMIFS(InputPlayers!$N$6:$N$305,InputPlayers!$A$6:$A$305,$A239,InputPlayers!$B$6:$B$305,$B239,InputPlayers!$C$6:$C$305,$C239,InputPlayers!$D$6:$D$305,$D239,InputPlayers!$O$6:$O$305,"Да"))</x:f>
      </x:c>
      <x:c r="H239" s="44">
        <x:f>IF(InputPlayers!A240="","",TEXT(InputPlayers!A240,"dd.mm.yyyy")&amp;"|"&amp;InputPlayers!B240&amp;"|"&amp;InputPlayers!C240&amp;"|"&amp;InputPlayers!D240)</x:f>
      </x:c>
    </x:row>
    <x:row r="240">
      <x:c r="A240" s="42">
        <x:f>IF(H240="","",IF(COUNTIF($H$5:H240,H240)&gt;1,"",InputPlayers!A241))</x:f>
      </x:c>
      <x:c r="B240" s="43">
        <x:f>IF($A240="","",InputPlayers!B241)</x:f>
      </x:c>
      <x:c r="C240" s="43">
        <x:f>IF($A240="","",InputPlayers!C241)</x:f>
      </x:c>
      <x:c r="D240" s="44">
        <x:f>IF($A240="","",InputPlayers!D241)</x:f>
      </x:c>
      <x:c r="E240" s="44">
        <x:f>IF($A240="","",InputPlayers!E241)</x:f>
      </x:c>
      <x:c r="F240" s="44">
        <x:f>IF($A240="","",COUNTIFS(InputPlayers!$A$6:$A$305,$A240,InputPlayers!$B$6:$B$305,$B240,InputPlayers!$C$6:$C$305,$C240,InputPlayers!$D$6:$D$305,$D240,InputPlayers!$O$6:$O$305,"Да"))</x:f>
      </x:c>
      <x:c r="G240" s="44">
        <x:f>IF($A240="","",SUMIFS(InputPlayers!$N$6:$N$305,InputPlayers!$A$6:$A$305,$A240,InputPlayers!$B$6:$B$305,$B240,InputPlayers!$C$6:$C$305,$C240,InputPlayers!$D$6:$D$305,$D240,InputPlayers!$O$6:$O$305,"Да"))</x:f>
      </x:c>
      <x:c r="H240" s="44">
        <x:f>IF(InputPlayers!A241="","",TEXT(InputPlayers!A241,"dd.mm.yyyy")&amp;"|"&amp;InputPlayers!B241&amp;"|"&amp;InputPlayers!C241&amp;"|"&amp;InputPlayers!D241)</x:f>
      </x:c>
    </x:row>
    <x:row r="241">
      <x:c r="A241" s="42">
        <x:f>IF(H241="","",IF(COUNTIF($H$5:H241,H241)&gt;1,"",InputPlayers!A242))</x:f>
      </x:c>
      <x:c r="B241" s="43">
        <x:f>IF($A241="","",InputPlayers!B242)</x:f>
      </x:c>
      <x:c r="C241" s="43">
        <x:f>IF($A241="","",InputPlayers!C242)</x:f>
      </x:c>
      <x:c r="D241" s="44">
        <x:f>IF($A241="","",InputPlayers!D242)</x:f>
      </x:c>
      <x:c r="E241" s="44">
        <x:f>IF($A241="","",InputPlayers!E242)</x:f>
      </x:c>
      <x:c r="F241" s="44">
        <x:f>IF($A241="","",COUNTIFS(InputPlayers!$A$6:$A$305,$A241,InputPlayers!$B$6:$B$305,$B241,InputPlayers!$C$6:$C$305,$C241,InputPlayers!$D$6:$D$305,$D241,InputPlayers!$O$6:$O$305,"Да"))</x:f>
      </x:c>
      <x:c r="G241" s="44">
        <x:f>IF($A241="","",SUMIFS(InputPlayers!$N$6:$N$305,InputPlayers!$A$6:$A$305,$A241,InputPlayers!$B$6:$B$305,$B241,InputPlayers!$C$6:$C$305,$C241,InputPlayers!$D$6:$D$305,$D241,InputPlayers!$O$6:$O$305,"Да"))</x:f>
      </x:c>
      <x:c r="H241" s="44">
        <x:f>IF(InputPlayers!A242="","",TEXT(InputPlayers!A242,"dd.mm.yyyy")&amp;"|"&amp;InputPlayers!B242&amp;"|"&amp;InputPlayers!C242&amp;"|"&amp;InputPlayers!D242)</x:f>
      </x:c>
    </x:row>
    <x:row r="242">
      <x:c r="A242" s="42">
        <x:f>IF(H242="","",IF(COUNTIF($H$5:H242,H242)&gt;1,"",InputPlayers!A243))</x:f>
      </x:c>
      <x:c r="B242" s="43">
        <x:f>IF($A242="","",InputPlayers!B243)</x:f>
      </x:c>
      <x:c r="C242" s="43">
        <x:f>IF($A242="","",InputPlayers!C243)</x:f>
      </x:c>
      <x:c r="D242" s="44">
        <x:f>IF($A242="","",InputPlayers!D243)</x:f>
      </x:c>
      <x:c r="E242" s="44">
        <x:f>IF($A242="","",InputPlayers!E243)</x:f>
      </x:c>
      <x:c r="F242" s="44">
        <x:f>IF($A242="","",COUNTIFS(InputPlayers!$A$6:$A$305,$A242,InputPlayers!$B$6:$B$305,$B242,InputPlayers!$C$6:$C$305,$C242,InputPlayers!$D$6:$D$305,$D242,InputPlayers!$O$6:$O$305,"Да"))</x:f>
      </x:c>
      <x:c r="G242" s="44">
        <x:f>IF($A242="","",SUMIFS(InputPlayers!$N$6:$N$305,InputPlayers!$A$6:$A$305,$A242,InputPlayers!$B$6:$B$305,$B242,InputPlayers!$C$6:$C$305,$C242,InputPlayers!$D$6:$D$305,$D242,InputPlayers!$O$6:$O$305,"Да"))</x:f>
      </x:c>
      <x:c r="H242" s="44">
        <x:f>IF(InputPlayers!A243="","",TEXT(InputPlayers!A243,"dd.mm.yyyy")&amp;"|"&amp;InputPlayers!B243&amp;"|"&amp;InputPlayers!C243&amp;"|"&amp;InputPlayers!D243)</x:f>
      </x:c>
    </x:row>
    <x:row r="243">
      <x:c r="A243" s="42">
        <x:f>IF(H243="","",IF(COUNTIF($H$5:H243,H243)&gt;1,"",InputPlayers!A244))</x:f>
      </x:c>
      <x:c r="B243" s="43">
        <x:f>IF($A243="","",InputPlayers!B244)</x:f>
      </x:c>
      <x:c r="C243" s="43">
        <x:f>IF($A243="","",InputPlayers!C244)</x:f>
      </x:c>
      <x:c r="D243" s="44">
        <x:f>IF($A243="","",InputPlayers!D244)</x:f>
      </x:c>
      <x:c r="E243" s="44">
        <x:f>IF($A243="","",InputPlayers!E244)</x:f>
      </x:c>
      <x:c r="F243" s="44">
        <x:f>IF($A243="","",COUNTIFS(InputPlayers!$A$6:$A$305,$A243,InputPlayers!$B$6:$B$305,$B243,InputPlayers!$C$6:$C$305,$C243,InputPlayers!$D$6:$D$305,$D243,InputPlayers!$O$6:$O$305,"Да"))</x:f>
      </x:c>
      <x:c r="G243" s="44">
        <x:f>IF($A243="","",SUMIFS(InputPlayers!$N$6:$N$305,InputPlayers!$A$6:$A$305,$A243,InputPlayers!$B$6:$B$305,$B243,InputPlayers!$C$6:$C$305,$C243,InputPlayers!$D$6:$D$305,$D243,InputPlayers!$O$6:$O$305,"Да"))</x:f>
      </x:c>
      <x:c r="H243" s="44">
        <x:f>IF(InputPlayers!A244="","",TEXT(InputPlayers!A244,"dd.mm.yyyy")&amp;"|"&amp;InputPlayers!B244&amp;"|"&amp;InputPlayers!C244&amp;"|"&amp;InputPlayers!D244)</x:f>
      </x:c>
    </x:row>
    <x:row r="244">
      <x:c r="A244" s="42">
        <x:f>IF(H244="","",IF(COUNTIF($H$5:H244,H244)&gt;1,"",InputPlayers!A245))</x:f>
      </x:c>
      <x:c r="B244" s="43">
        <x:f>IF($A244="","",InputPlayers!B245)</x:f>
      </x:c>
      <x:c r="C244" s="43">
        <x:f>IF($A244="","",InputPlayers!C245)</x:f>
      </x:c>
      <x:c r="D244" s="44">
        <x:f>IF($A244="","",InputPlayers!D245)</x:f>
      </x:c>
      <x:c r="E244" s="44">
        <x:f>IF($A244="","",InputPlayers!E245)</x:f>
      </x:c>
      <x:c r="F244" s="44">
        <x:f>IF($A244="","",COUNTIFS(InputPlayers!$A$6:$A$305,$A244,InputPlayers!$B$6:$B$305,$B244,InputPlayers!$C$6:$C$305,$C244,InputPlayers!$D$6:$D$305,$D244,InputPlayers!$O$6:$O$305,"Да"))</x:f>
      </x:c>
      <x:c r="G244" s="44">
        <x:f>IF($A244="","",SUMIFS(InputPlayers!$N$6:$N$305,InputPlayers!$A$6:$A$305,$A244,InputPlayers!$B$6:$B$305,$B244,InputPlayers!$C$6:$C$305,$C244,InputPlayers!$D$6:$D$305,$D244,InputPlayers!$O$6:$O$305,"Да"))</x:f>
      </x:c>
      <x:c r="H244" s="44">
        <x:f>IF(InputPlayers!A245="","",TEXT(InputPlayers!A245,"dd.mm.yyyy")&amp;"|"&amp;InputPlayers!B245&amp;"|"&amp;InputPlayers!C245&amp;"|"&amp;InputPlayers!D245)</x:f>
      </x:c>
    </x:row>
    <x:row r="245">
      <x:c r="A245" s="42">
        <x:f>IF(H245="","",IF(COUNTIF($H$5:H245,H245)&gt;1,"",InputPlayers!A246))</x:f>
      </x:c>
      <x:c r="B245" s="43">
        <x:f>IF($A245="","",InputPlayers!B246)</x:f>
      </x:c>
      <x:c r="C245" s="43">
        <x:f>IF($A245="","",InputPlayers!C246)</x:f>
      </x:c>
      <x:c r="D245" s="44">
        <x:f>IF($A245="","",InputPlayers!D246)</x:f>
      </x:c>
      <x:c r="E245" s="44">
        <x:f>IF($A245="","",InputPlayers!E246)</x:f>
      </x:c>
      <x:c r="F245" s="44">
        <x:f>IF($A245="","",COUNTIFS(InputPlayers!$A$6:$A$305,$A245,InputPlayers!$B$6:$B$305,$B245,InputPlayers!$C$6:$C$305,$C245,InputPlayers!$D$6:$D$305,$D245,InputPlayers!$O$6:$O$305,"Да"))</x:f>
      </x:c>
      <x:c r="G245" s="44">
        <x:f>IF($A245="","",SUMIFS(InputPlayers!$N$6:$N$305,InputPlayers!$A$6:$A$305,$A245,InputPlayers!$B$6:$B$305,$B245,InputPlayers!$C$6:$C$305,$C245,InputPlayers!$D$6:$D$305,$D245,InputPlayers!$O$6:$O$305,"Да"))</x:f>
      </x:c>
      <x:c r="H245" s="44">
        <x:f>IF(InputPlayers!A246="","",TEXT(InputPlayers!A246,"dd.mm.yyyy")&amp;"|"&amp;InputPlayers!B246&amp;"|"&amp;InputPlayers!C246&amp;"|"&amp;InputPlayers!D246)</x:f>
      </x:c>
    </x:row>
    <x:row r="246">
      <x:c r="A246" s="42">
        <x:f>IF(H246="","",IF(COUNTIF($H$5:H246,H246)&gt;1,"",InputPlayers!A247))</x:f>
      </x:c>
      <x:c r="B246" s="43">
        <x:f>IF($A246="","",InputPlayers!B247)</x:f>
      </x:c>
      <x:c r="C246" s="43">
        <x:f>IF($A246="","",InputPlayers!C247)</x:f>
      </x:c>
      <x:c r="D246" s="44">
        <x:f>IF($A246="","",InputPlayers!D247)</x:f>
      </x:c>
      <x:c r="E246" s="44">
        <x:f>IF($A246="","",InputPlayers!E247)</x:f>
      </x:c>
      <x:c r="F246" s="44">
        <x:f>IF($A246="","",COUNTIFS(InputPlayers!$A$6:$A$305,$A246,InputPlayers!$B$6:$B$305,$B246,InputPlayers!$C$6:$C$305,$C246,InputPlayers!$D$6:$D$305,$D246,InputPlayers!$O$6:$O$305,"Да"))</x:f>
      </x:c>
      <x:c r="G246" s="44">
        <x:f>IF($A246="","",SUMIFS(InputPlayers!$N$6:$N$305,InputPlayers!$A$6:$A$305,$A246,InputPlayers!$B$6:$B$305,$B246,InputPlayers!$C$6:$C$305,$C246,InputPlayers!$D$6:$D$305,$D246,InputPlayers!$O$6:$O$305,"Да"))</x:f>
      </x:c>
      <x:c r="H246" s="44">
        <x:f>IF(InputPlayers!A247="","",TEXT(InputPlayers!A247,"dd.mm.yyyy")&amp;"|"&amp;InputPlayers!B247&amp;"|"&amp;InputPlayers!C247&amp;"|"&amp;InputPlayers!D247)</x:f>
      </x:c>
    </x:row>
    <x:row r="247">
      <x:c r="A247" s="42">
        <x:f>IF(H247="","",IF(COUNTIF($H$5:H247,H247)&gt;1,"",InputPlayers!A248))</x:f>
      </x:c>
      <x:c r="B247" s="43">
        <x:f>IF($A247="","",InputPlayers!B248)</x:f>
      </x:c>
      <x:c r="C247" s="43">
        <x:f>IF($A247="","",InputPlayers!C248)</x:f>
      </x:c>
      <x:c r="D247" s="44">
        <x:f>IF($A247="","",InputPlayers!D248)</x:f>
      </x:c>
      <x:c r="E247" s="44">
        <x:f>IF($A247="","",InputPlayers!E248)</x:f>
      </x:c>
      <x:c r="F247" s="44">
        <x:f>IF($A247="","",COUNTIFS(InputPlayers!$A$6:$A$305,$A247,InputPlayers!$B$6:$B$305,$B247,InputPlayers!$C$6:$C$305,$C247,InputPlayers!$D$6:$D$305,$D247,InputPlayers!$O$6:$O$305,"Да"))</x:f>
      </x:c>
      <x:c r="G247" s="44">
        <x:f>IF($A247="","",SUMIFS(InputPlayers!$N$6:$N$305,InputPlayers!$A$6:$A$305,$A247,InputPlayers!$B$6:$B$305,$B247,InputPlayers!$C$6:$C$305,$C247,InputPlayers!$D$6:$D$305,$D247,InputPlayers!$O$6:$O$305,"Да"))</x:f>
      </x:c>
      <x:c r="H247" s="44">
        <x:f>IF(InputPlayers!A248="","",TEXT(InputPlayers!A248,"dd.mm.yyyy")&amp;"|"&amp;InputPlayers!B248&amp;"|"&amp;InputPlayers!C248&amp;"|"&amp;InputPlayers!D248)</x:f>
      </x:c>
    </x:row>
    <x:row r="248">
      <x:c r="A248" s="42">
        <x:f>IF(H248="","",IF(COUNTIF($H$5:H248,H248)&gt;1,"",InputPlayers!A249))</x:f>
      </x:c>
      <x:c r="B248" s="43">
        <x:f>IF($A248="","",InputPlayers!B249)</x:f>
      </x:c>
      <x:c r="C248" s="43">
        <x:f>IF($A248="","",InputPlayers!C249)</x:f>
      </x:c>
      <x:c r="D248" s="44">
        <x:f>IF($A248="","",InputPlayers!D249)</x:f>
      </x:c>
      <x:c r="E248" s="44">
        <x:f>IF($A248="","",InputPlayers!E249)</x:f>
      </x:c>
      <x:c r="F248" s="44">
        <x:f>IF($A248="","",COUNTIFS(InputPlayers!$A$6:$A$305,$A248,InputPlayers!$B$6:$B$305,$B248,InputPlayers!$C$6:$C$305,$C248,InputPlayers!$D$6:$D$305,$D248,InputPlayers!$O$6:$O$305,"Да"))</x:f>
      </x:c>
      <x:c r="G248" s="44">
        <x:f>IF($A248="","",SUMIFS(InputPlayers!$N$6:$N$305,InputPlayers!$A$6:$A$305,$A248,InputPlayers!$B$6:$B$305,$B248,InputPlayers!$C$6:$C$305,$C248,InputPlayers!$D$6:$D$305,$D248,InputPlayers!$O$6:$O$305,"Да"))</x:f>
      </x:c>
      <x:c r="H248" s="44">
        <x:f>IF(InputPlayers!A249="","",TEXT(InputPlayers!A249,"dd.mm.yyyy")&amp;"|"&amp;InputPlayers!B249&amp;"|"&amp;InputPlayers!C249&amp;"|"&amp;InputPlayers!D249)</x:f>
      </x:c>
    </x:row>
    <x:row r="249">
      <x:c r="A249" s="42">
        <x:f>IF(H249="","",IF(COUNTIF($H$5:H249,H249)&gt;1,"",InputPlayers!A250))</x:f>
      </x:c>
      <x:c r="B249" s="43">
        <x:f>IF($A249="","",InputPlayers!B250)</x:f>
      </x:c>
      <x:c r="C249" s="43">
        <x:f>IF($A249="","",InputPlayers!C250)</x:f>
      </x:c>
      <x:c r="D249" s="44">
        <x:f>IF($A249="","",InputPlayers!D250)</x:f>
      </x:c>
      <x:c r="E249" s="44">
        <x:f>IF($A249="","",InputPlayers!E250)</x:f>
      </x:c>
      <x:c r="F249" s="44">
        <x:f>IF($A249="","",COUNTIFS(InputPlayers!$A$6:$A$305,$A249,InputPlayers!$B$6:$B$305,$B249,InputPlayers!$C$6:$C$305,$C249,InputPlayers!$D$6:$D$305,$D249,InputPlayers!$O$6:$O$305,"Да"))</x:f>
      </x:c>
      <x:c r="G249" s="44">
        <x:f>IF($A249="","",SUMIFS(InputPlayers!$N$6:$N$305,InputPlayers!$A$6:$A$305,$A249,InputPlayers!$B$6:$B$305,$B249,InputPlayers!$C$6:$C$305,$C249,InputPlayers!$D$6:$D$305,$D249,InputPlayers!$O$6:$O$305,"Да"))</x:f>
      </x:c>
      <x:c r="H249" s="44">
        <x:f>IF(InputPlayers!A250="","",TEXT(InputPlayers!A250,"dd.mm.yyyy")&amp;"|"&amp;InputPlayers!B250&amp;"|"&amp;InputPlayers!C250&amp;"|"&amp;InputPlayers!D250)</x:f>
      </x:c>
    </x:row>
    <x:row r="250">
      <x:c r="A250" s="42">
        <x:f>IF(H250="","",IF(COUNTIF($H$5:H250,H250)&gt;1,"",InputPlayers!A251))</x:f>
      </x:c>
      <x:c r="B250" s="43">
        <x:f>IF($A250="","",InputPlayers!B251)</x:f>
      </x:c>
      <x:c r="C250" s="43">
        <x:f>IF($A250="","",InputPlayers!C251)</x:f>
      </x:c>
      <x:c r="D250" s="44">
        <x:f>IF($A250="","",InputPlayers!D251)</x:f>
      </x:c>
      <x:c r="E250" s="44">
        <x:f>IF($A250="","",InputPlayers!E251)</x:f>
      </x:c>
      <x:c r="F250" s="44">
        <x:f>IF($A250="","",COUNTIFS(InputPlayers!$A$6:$A$305,$A250,InputPlayers!$B$6:$B$305,$B250,InputPlayers!$C$6:$C$305,$C250,InputPlayers!$D$6:$D$305,$D250,InputPlayers!$O$6:$O$305,"Да"))</x:f>
      </x:c>
      <x:c r="G250" s="44">
        <x:f>IF($A250="","",SUMIFS(InputPlayers!$N$6:$N$305,InputPlayers!$A$6:$A$305,$A250,InputPlayers!$B$6:$B$305,$B250,InputPlayers!$C$6:$C$305,$C250,InputPlayers!$D$6:$D$305,$D250,InputPlayers!$O$6:$O$305,"Да"))</x:f>
      </x:c>
      <x:c r="H250" s="44">
        <x:f>IF(InputPlayers!A251="","",TEXT(InputPlayers!A251,"dd.mm.yyyy")&amp;"|"&amp;InputPlayers!B251&amp;"|"&amp;InputPlayers!C251&amp;"|"&amp;InputPlayers!D251)</x:f>
      </x:c>
    </x:row>
    <x:row r="251">
      <x:c r="A251" s="42">
        <x:f>IF(H251="","",IF(COUNTIF($H$5:H251,H251)&gt;1,"",InputPlayers!A252))</x:f>
      </x:c>
      <x:c r="B251" s="43">
        <x:f>IF($A251="","",InputPlayers!B252)</x:f>
      </x:c>
      <x:c r="C251" s="43">
        <x:f>IF($A251="","",InputPlayers!C252)</x:f>
      </x:c>
      <x:c r="D251" s="44">
        <x:f>IF($A251="","",InputPlayers!D252)</x:f>
      </x:c>
      <x:c r="E251" s="44">
        <x:f>IF($A251="","",InputPlayers!E252)</x:f>
      </x:c>
      <x:c r="F251" s="44">
        <x:f>IF($A251="","",COUNTIFS(InputPlayers!$A$6:$A$305,$A251,InputPlayers!$B$6:$B$305,$B251,InputPlayers!$C$6:$C$305,$C251,InputPlayers!$D$6:$D$305,$D251,InputPlayers!$O$6:$O$305,"Да"))</x:f>
      </x:c>
      <x:c r="G251" s="44">
        <x:f>IF($A251="","",SUMIFS(InputPlayers!$N$6:$N$305,InputPlayers!$A$6:$A$305,$A251,InputPlayers!$B$6:$B$305,$B251,InputPlayers!$C$6:$C$305,$C251,InputPlayers!$D$6:$D$305,$D251,InputPlayers!$O$6:$O$305,"Да"))</x:f>
      </x:c>
      <x:c r="H251" s="44">
        <x:f>IF(InputPlayers!A252="","",TEXT(InputPlayers!A252,"dd.mm.yyyy")&amp;"|"&amp;InputPlayers!B252&amp;"|"&amp;InputPlayers!C252&amp;"|"&amp;InputPlayers!D252)</x:f>
      </x:c>
    </x:row>
    <x:row r="252">
      <x:c r="A252" s="42">
        <x:f>IF(H252="","",IF(COUNTIF($H$5:H252,H252)&gt;1,"",InputPlayers!A253))</x:f>
      </x:c>
      <x:c r="B252" s="43">
        <x:f>IF($A252="","",InputPlayers!B253)</x:f>
      </x:c>
      <x:c r="C252" s="43">
        <x:f>IF($A252="","",InputPlayers!C253)</x:f>
      </x:c>
      <x:c r="D252" s="44">
        <x:f>IF($A252="","",InputPlayers!D253)</x:f>
      </x:c>
      <x:c r="E252" s="44">
        <x:f>IF($A252="","",InputPlayers!E253)</x:f>
      </x:c>
      <x:c r="F252" s="44">
        <x:f>IF($A252="","",COUNTIFS(InputPlayers!$A$6:$A$305,$A252,InputPlayers!$B$6:$B$305,$B252,InputPlayers!$C$6:$C$305,$C252,InputPlayers!$D$6:$D$305,$D252,InputPlayers!$O$6:$O$305,"Да"))</x:f>
      </x:c>
      <x:c r="G252" s="44">
        <x:f>IF($A252="","",SUMIFS(InputPlayers!$N$6:$N$305,InputPlayers!$A$6:$A$305,$A252,InputPlayers!$B$6:$B$305,$B252,InputPlayers!$C$6:$C$305,$C252,InputPlayers!$D$6:$D$305,$D252,InputPlayers!$O$6:$O$305,"Да"))</x:f>
      </x:c>
      <x:c r="H252" s="44">
        <x:f>IF(InputPlayers!A253="","",TEXT(InputPlayers!A253,"dd.mm.yyyy")&amp;"|"&amp;InputPlayers!B253&amp;"|"&amp;InputPlayers!C253&amp;"|"&amp;InputPlayers!D253)</x:f>
      </x:c>
    </x:row>
    <x:row r="253">
      <x:c r="A253" s="42">
        <x:f>IF(H253="","",IF(COUNTIF($H$5:H253,H253)&gt;1,"",InputPlayers!A254))</x:f>
      </x:c>
      <x:c r="B253" s="43">
        <x:f>IF($A253="","",InputPlayers!B254)</x:f>
      </x:c>
      <x:c r="C253" s="43">
        <x:f>IF($A253="","",InputPlayers!C254)</x:f>
      </x:c>
      <x:c r="D253" s="44">
        <x:f>IF($A253="","",InputPlayers!D254)</x:f>
      </x:c>
      <x:c r="E253" s="44">
        <x:f>IF($A253="","",InputPlayers!E254)</x:f>
      </x:c>
      <x:c r="F253" s="44">
        <x:f>IF($A253="","",COUNTIFS(InputPlayers!$A$6:$A$305,$A253,InputPlayers!$B$6:$B$305,$B253,InputPlayers!$C$6:$C$305,$C253,InputPlayers!$D$6:$D$305,$D253,InputPlayers!$O$6:$O$305,"Да"))</x:f>
      </x:c>
      <x:c r="G253" s="44">
        <x:f>IF($A253="","",SUMIFS(InputPlayers!$N$6:$N$305,InputPlayers!$A$6:$A$305,$A253,InputPlayers!$B$6:$B$305,$B253,InputPlayers!$C$6:$C$305,$C253,InputPlayers!$D$6:$D$305,$D253,InputPlayers!$O$6:$O$305,"Да"))</x:f>
      </x:c>
      <x:c r="H253" s="44">
        <x:f>IF(InputPlayers!A254="","",TEXT(InputPlayers!A254,"dd.mm.yyyy")&amp;"|"&amp;InputPlayers!B254&amp;"|"&amp;InputPlayers!C254&amp;"|"&amp;InputPlayers!D254)</x:f>
      </x:c>
    </x:row>
    <x:row r="254">
      <x:c r="A254" s="42">
        <x:f>IF(H254="","",IF(COUNTIF($H$5:H254,H254)&gt;1,"",InputPlayers!A255))</x:f>
      </x:c>
      <x:c r="B254" s="43">
        <x:f>IF($A254="","",InputPlayers!B255)</x:f>
      </x:c>
      <x:c r="C254" s="43">
        <x:f>IF($A254="","",InputPlayers!C255)</x:f>
      </x:c>
      <x:c r="D254" s="44">
        <x:f>IF($A254="","",InputPlayers!D255)</x:f>
      </x:c>
      <x:c r="E254" s="44">
        <x:f>IF($A254="","",InputPlayers!E255)</x:f>
      </x:c>
      <x:c r="F254" s="44">
        <x:f>IF($A254="","",COUNTIFS(InputPlayers!$A$6:$A$305,$A254,InputPlayers!$B$6:$B$305,$B254,InputPlayers!$C$6:$C$305,$C254,InputPlayers!$D$6:$D$305,$D254,InputPlayers!$O$6:$O$305,"Да"))</x:f>
      </x:c>
      <x:c r="G254" s="44">
        <x:f>IF($A254="","",SUMIFS(InputPlayers!$N$6:$N$305,InputPlayers!$A$6:$A$305,$A254,InputPlayers!$B$6:$B$305,$B254,InputPlayers!$C$6:$C$305,$C254,InputPlayers!$D$6:$D$305,$D254,InputPlayers!$O$6:$O$305,"Да"))</x:f>
      </x:c>
      <x:c r="H254" s="44">
        <x:f>IF(InputPlayers!A255="","",TEXT(InputPlayers!A255,"dd.mm.yyyy")&amp;"|"&amp;InputPlayers!B255&amp;"|"&amp;InputPlayers!C255&amp;"|"&amp;InputPlayers!D255)</x:f>
      </x:c>
    </x:row>
    <x:row r="255">
      <x:c r="A255" s="42">
        <x:f>IF(H255="","",IF(COUNTIF($H$5:H255,H255)&gt;1,"",InputPlayers!A256))</x:f>
      </x:c>
      <x:c r="B255" s="43">
        <x:f>IF($A255="","",InputPlayers!B256)</x:f>
      </x:c>
      <x:c r="C255" s="43">
        <x:f>IF($A255="","",InputPlayers!C256)</x:f>
      </x:c>
      <x:c r="D255" s="44">
        <x:f>IF($A255="","",InputPlayers!D256)</x:f>
      </x:c>
      <x:c r="E255" s="44">
        <x:f>IF($A255="","",InputPlayers!E256)</x:f>
      </x:c>
      <x:c r="F255" s="44">
        <x:f>IF($A255="","",COUNTIFS(InputPlayers!$A$6:$A$305,$A255,InputPlayers!$B$6:$B$305,$B255,InputPlayers!$C$6:$C$305,$C255,InputPlayers!$D$6:$D$305,$D255,InputPlayers!$O$6:$O$305,"Да"))</x:f>
      </x:c>
      <x:c r="G255" s="44">
        <x:f>IF($A255="","",SUMIFS(InputPlayers!$N$6:$N$305,InputPlayers!$A$6:$A$305,$A255,InputPlayers!$B$6:$B$305,$B255,InputPlayers!$C$6:$C$305,$C255,InputPlayers!$D$6:$D$305,$D255,InputPlayers!$O$6:$O$305,"Да"))</x:f>
      </x:c>
      <x:c r="H255" s="44">
        <x:f>IF(InputPlayers!A256="","",TEXT(InputPlayers!A256,"dd.mm.yyyy")&amp;"|"&amp;InputPlayers!B256&amp;"|"&amp;InputPlayers!C256&amp;"|"&amp;InputPlayers!D256)</x:f>
      </x:c>
    </x:row>
    <x:row r="256">
      <x:c r="A256" s="42">
        <x:f>IF(H256="","",IF(COUNTIF($H$5:H256,H256)&gt;1,"",InputPlayers!A257))</x:f>
      </x:c>
      <x:c r="B256" s="43">
        <x:f>IF($A256="","",InputPlayers!B257)</x:f>
      </x:c>
      <x:c r="C256" s="43">
        <x:f>IF($A256="","",InputPlayers!C257)</x:f>
      </x:c>
      <x:c r="D256" s="44">
        <x:f>IF($A256="","",InputPlayers!D257)</x:f>
      </x:c>
      <x:c r="E256" s="44">
        <x:f>IF($A256="","",InputPlayers!E257)</x:f>
      </x:c>
      <x:c r="F256" s="44">
        <x:f>IF($A256="","",COUNTIFS(InputPlayers!$A$6:$A$305,$A256,InputPlayers!$B$6:$B$305,$B256,InputPlayers!$C$6:$C$305,$C256,InputPlayers!$D$6:$D$305,$D256,InputPlayers!$O$6:$O$305,"Да"))</x:f>
      </x:c>
      <x:c r="G256" s="44">
        <x:f>IF($A256="","",SUMIFS(InputPlayers!$N$6:$N$305,InputPlayers!$A$6:$A$305,$A256,InputPlayers!$B$6:$B$305,$B256,InputPlayers!$C$6:$C$305,$C256,InputPlayers!$D$6:$D$305,$D256,InputPlayers!$O$6:$O$305,"Да"))</x:f>
      </x:c>
      <x:c r="H256" s="44">
        <x:f>IF(InputPlayers!A257="","",TEXT(InputPlayers!A257,"dd.mm.yyyy")&amp;"|"&amp;InputPlayers!B257&amp;"|"&amp;InputPlayers!C257&amp;"|"&amp;InputPlayers!D257)</x:f>
      </x:c>
    </x:row>
    <x:row r="257">
      <x:c r="A257" s="42">
        <x:f>IF(H257="","",IF(COUNTIF($H$5:H257,H257)&gt;1,"",InputPlayers!A258))</x:f>
      </x:c>
      <x:c r="B257" s="43">
        <x:f>IF($A257="","",InputPlayers!B258)</x:f>
      </x:c>
      <x:c r="C257" s="43">
        <x:f>IF($A257="","",InputPlayers!C258)</x:f>
      </x:c>
      <x:c r="D257" s="44">
        <x:f>IF($A257="","",InputPlayers!D258)</x:f>
      </x:c>
      <x:c r="E257" s="44">
        <x:f>IF($A257="","",InputPlayers!E258)</x:f>
      </x:c>
      <x:c r="F257" s="44">
        <x:f>IF($A257="","",COUNTIFS(InputPlayers!$A$6:$A$305,$A257,InputPlayers!$B$6:$B$305,$B257,InputPlayers!$C$6:$C$305,$C257,InputPlayers!$D$6:$D$305,$D257,InputPlayers!$O$6:$O$305,"Да"))</x:f>
      </x:c>
      <x:c r="G257" s="44">
        <x:f>IF($A257="","",SUMIFS(InputPlayers!$N$6:$N$305,InputPlayers!$A$6:$A$305,$A257,InputPlayers!$B$6:$B$305,$B257,InputPlayers!$C$6:$C$305,$C257,InputPlayers!$D$6:$D$305,$D257,InputPlayers!$O$6:$O$305,"Да"))</x:f>
      </x:c>
      <x:c r="H257" s="44">
        <x:f>IF(InputPlayers!A258="","",TEXT(InputPlayers!A258,"dd.mm.yyyy")&amp;"|"&amp;InputPlayers!B258&amp;"|"&amp;InputPlayers!C258&amp;"|"&amp;InputPlayers!D258)</x:f>
      </x:c>
    </x:row>
    <x:row r="258">
      <x:c r="A258" s="42">
        <x:f>IF(H258="","",IF(COUNTIF($H$5:H258,H258)&gt;1,"",InputPlayers!A259))</x:f>
      </x:c>
      <x:c r="B258" s="43">
        <x:f>IF($A258="","",InputPlayers!B259)</x:f>
      </x:c>
      <x:c r="C258" s="43">
        <x:f>IF($A258="","",InputPlayers!C259)</x:f>
      </x:c>
      <x:c r="D258" s="44">
        <x:f>IF($A258="","",InputPlayers!D259)</x:f>
      </x:c>
      <x:c r="E258" s="44">
        <x:f>IF($A258="","",InputPlayers!E259)</x:f>
      </x:c>
      <x:c r="F258" s="44">
        <x:f>IF($A258="","",COUNTIFS(InputPlayers!$A$6:$A$305,$A258,InputPlayers!$B$6:$B$305,$B258,InputPlayers!$C$6:$C$305,$C258,InputPlayers!$D$6:$D$305,$D258,InputPlayers!$O$6:$O$305,"Да"))</x:f>
      </x:c>
      <x:c r="G258" s="44">
        <x:f>IF($A258="","",SUMIFS(InputPlayers!$N$6:$N$305,InputPlayers!$A$6:$A$305,$A258,InputPlayers!$B$6:$B$305,$B258,InputPlayers!$C$6:$C$305,$C258,InputPlayers!$D$6:$D$305,$D258,InputPlayers!$O$6:$O$305,"Да"))</x:f>
      </x:c>
      <x:c r="H258" s="44">
        <x:f>IF(InputPlayers!A259="","",TEXT(InputPlayers!A259,"dd.mm.yyyy")&amp;"|"&amp;InputPlayers!B259&amp;"|"&amp;InputPlayers!C259&amp;"|"&amp;InputPlayers!D259)</x:f>
      </x:c>
    </x:row>
    <x:row r="259">
      <x:c r="A259" s="42">
        <x:f>IF(H259="","",IF(COUNTIF($H$5:H259,H259)&gt;1,"",InputPlayers!A260))</x:f>
      </x:c>
      <x:c r="B259" s="43">
        <x:f>IF($A259="","",InputPlayers!B260)</x:f>
      </x:c>
      <x:c r="C259" s="43">
        <x:f>IF($A259="","",InputPlayers!C260)</x:f>
      </x:c>
      <x:c r="D259" s="44">
        <x:f>IF($A259="","",InputPlayers!D260)</x:f>
      </x:c>
      <x:c r="E259" s="44">
        <x:f>IF($A259="","",InputPlayers!E260)</x:f>
      </x:c>
      <x:c r="F259" s="44">
        <x:f>IF($A259="","",COUNTIFS(InputPlayers!$A$6:$A$305,$A259,InputPlayers!$B$6:$B$305,$B259,InputPlayers!$C$6:$C$305,$C259,InputPlayers!$D$6:$D$305,$D259,InputPlayers!$O$6:$O$305,"Да"))</x:f>
      </x:c>
      <x:c r="G259" s="44">
        <x:f>IF($A259="","",SUMIFS(InputPlayers!$N$6:$N$305,InputPlayers!$A$6:$A$305,$A259,InputPlayers!$B$6:$B$305,$B259,InputPlayers!$C$6:$C$305,$C259,InputPlayers!$D$6:$D$305,$D259,InputPlayers!$O$6:$O$305,"Да"))</x:f>
      </x:c>
      <x:c r="H259" s="44">
        <x:f>IF(InputPlayers!A260="","",TEXT(InputPlayers!A260,"dd.mm.yyyy")&amp;"|"&amp;InputPlayers!B260&amp;"|"&amp;InputPlayers!C260&amp;"|"&amp;InputPlayers!D260)</x:f>
      </x:c>
    </x:row>
    <x:row r="260">
      <x:c r="A260" s="42">
        <x:f>IF(H260="","",IF(COUNTIF($H$5:H260,H260)&gt;1,"",InputPlayers!A261))</x:f>
      </x:c>
      <x:c r="B260" s="43">
        <x:f>IF($A260="","",InputPlayers!B261)</x:f>
      </x:c>
      <x:c r="C260" s="43">
        <x:f>IF($A260="","",InputPlayers!C261)</x:f>
      </x:c>
      <x:c r="D260" s="44">
        <x:f>IF($A260="","",InputPlayers!D261)</x:f>
      </x:c>
      <x:c r="E260" s="44">
        <x:f>IF($A260="","",InputPlayers!E261)</x:f>
      </x:c>
      <x:c r="F260" s="44">
        <x:f>IF($A260="","",COUNTIFS(InputPlayers!$A$6:$A$305,$A260,InputPlayers!$B$6:$B$305,$B260,InputPlayers!$C$6:$C$305,$C260,InputPlayers!$D$6:$D$305,$D260,InputPlayers!$O$6:$O$305,"Да"))</x:f>
      </x:c>
      <x:c r="G260" s="44">
        <x:f>IF($A260="","",SUMIFS(InputPlayers!$N$6:$N$305,InputPlayers!$A$6:$A$305,$A260,InputPlayers!$B$6:$B$305,$B260,InputPlayers!$C$6:$C$305,$C260,InputPlayers!$D$6:$D$305,$D260,InputPlayers!$O$6:$O$305,"Да"))</x:f>
      </x:c>
      <x:c r="H260" s="44">
        <x:f>IF(InputPlayers!A261="","",TEXT(InputPlayers!A261,"dd.mm.yyyy")&amp;"|"&amp;InputPlayers!B261&amp;"|"&amp;InputPlayers!C261&amp;"|"&amp;InputPlayers!D261)</x:f>
      </x:c>
    </x:row>
    <x:row r="261">
      <x:c r="A261" s="42">
        <x:f>IF(H261="","",IF(COUNTIF($H$5:H261,H261)&gt;1,"",InputPlayers!A262))</x:f>
      </x:c>
      <x:c r="B261" s="43">
        <x:f>IF($A261="","",InputPlayers!B262)</x:f>
      </x:c>
      <x:c r="C261" s="43">
        <x:f>IF($A261="","",InputPlayers!C262)</x:f>
      </x:c>
      <x:c r="D261" s="44">
        <x:f>IF($A261="","",InputPlayers!D262)</x:f>
      </x:c>
      <x:c r="E261" s="44">
        <x:f>IF($A261="","",InputPlayers!E262)</x:f>
      </x:c>
      <x:c r="F261" s="44">
        <x:f>IF($A261="","",COUNTIFS(InputPlayers!$A$6:$A$305,$A261,InputPlayers!$B$6:$B$305,$B261,InputPlayers!$C$6:$C$305,$C261,InputPlayers!$D$6:$D$305,$D261,InputPlayers!$O$6:$O$305,"Да"))</x:f>
      </x:c>
      <x:c r="G261" s="44">
        <x:f>IF($A261="","",SUMIFS(InputPlayers!$N$6:$N$305,InputPlayers!$A$6:$A$305,$A261,InputPlayers!$B$6:$B$305,$B261,InputPlayers!$C$6:$C$305,$C261,InputPlayers!$D$6:$D$305,$D261,InputPlayers!$O$6:$O$305,"Да"))</x:f>
      </x:c>
      <x:c r="H261" s="44">
        <x:f>IF(InputPlayers!A262="","",TEXT(InputPlayers!A262,"dd.mm.yyyy")&amp;"|"&amp;InputPlayers!B262&amp;"|"&amp;InputPlayers!C262&amp;"|"&amp;InputPlayers!D262)</x:f>
      </x:c>
    </x:row>
    <x:row r="262">
      <x:c r="A262" s="42">
        <x:f>IF(H262="","",IF(COUNTIF($H$5:H262,H262)&gt;1,"",InputPlayers!A263))</x:f>
      </x:c>
      <x:c r="B262" s="43">
        <x:f>IF($A262="","",InputPlayers!B263)</x:f>
      </x:c>
      <x:c r="C262" s="43">
        <x:f>IF($A262="","",InputPlayers!C263)</x:f>
      </x:c>
      <x:c r="D262" s="44">
        <x:f>IF($A262="","",InputPlayers!D263)</x:f>
      </x:c>
      <x:c r="E262" s="44">
        <x:f>IF($A262="","",InputPlayers!E263)</x:f>
      </x:c>
      <x:c r="F262" s="44">
        <x:f>IF($A262="","",COUNTIFS(InputPlayers!$A$6:$A$305,$A262,InputPlayers!$B$6:$B$305,$B262,InputPlayers!$C$6:$C$305,$C262,InputPlayers!$D$6:$D$305,$D262,InputPlayers!$O$6:$O$305,"Да"))</x:f>
      </x:c>
      <x:c r="G262" s="44">
        <x:f>IF($A262="","",SUMIFS(InputPlayers!$N$6:$N$305,InputPlayers!$A$6:$A$305,$A262,InputPlayers!$B$6:$B$305,$B262,InputPlayers!$C$6:$C$305,$C262,InputPlayers!$D$6:$D$305,$D262,InputPlayers!$O$6:$O$305,"Да"))</x:f>
      </x:c>
      <x:c r="H262" s="44">
        <x:f>IF(InputPlayers!A263="","",TEXT(InputPlayers!A263,"dd.mm.yyyy")&amp;"|"&amp;InputPlayers!B263&amp;"|"&amp;InputPlayers!C263&amp;"|"&amp;InputPlayers!D263)</x:f>
      </x:c>
    </x:row>
    <x:row r="263">
      <x:c r="A263" s="42">
        <x:f>IF(H263="","",IF(COUNTIF($H$5:H263,H263)&gt;1,"",InputPlayers!A264))</x:f>
      </x:c>
      <x:c r="B263" s="43">
        <x:f>IF($A263="","",InputPlayers!B264)</x:f>
      </x:c>
      <x:c r="C263" s="43">
        <x:f>IF($A263="","",InputPlayers!C264)</x:f>
      </x:c>
      <x:c r="D263" s="44">
        <x:f>IF($A263="","",InputPlayers!D264)</x:f>
      </x:c>
      <x:c r="E263" s="44">
        <x:f>IF($A263="","",InputPlayers!E264)</x:f>
      </x:c>
      <x:c r="F263" s="44">
        <x:f>IF($A263="","",COUNTIFS(InputPlayers!$A$6:$A$305,$A263,InputPlayers!$B$6:$B$305,$B263,InputPlayers!$C$6:$C$305,$C263,InputPlayers!$D$6:$D$305,$D263,InputPlayers!$O$6:$O$305,"Да"))</x:f>
      </x:c>
      <x:c r="G263" s="44">
        <x:f>IF($A263="","",SUMIFS(InputPlayers!$N$6:$N$305,InputPlayers!$A$6:$A$305,$A263,InputPlayers!$B$6:$B$305,$B263,InputPlayers!$C$6:$C$305,$C263,InputPlayers!$D$6:$D$305,$D263,InputPlayers!$O$6:$O$305,"Да"))</x:f>
      </x:c>
      <x:c r="H263" s="44">
        <x:f>IF(InputPlayers!A264="","",TEXT(InputPlayers!A264,"dd.mm.yyyy")&amp;"|"&amp;InputPlayers!B264&amp;"|"&amp;InputPlayers!C264&amp;"|"&amp;InputPlayers!D264)</x:f>
      </x:c>
    </x:row>
    <x:row r="264">
      <x:c r="A264" s="42">
        <x:f>IF(H264="","",IF(COUNTIF($H$5:H264,H264)&gt;1,"",InputPlayers!A265))</x:f>
      </x:c>
      <x:c r="B264" s="43">
        <x:f>IF($A264="","",InputPlayers!B265)</x:f>
      </x:c>
      <x:c r="C264" s="43">
        <x:f>IF($A264="","",InputPlayers!C265)</x:f>
      </x:c>
      <x:c r="D264" s="44">
        <x:f>IF($A264="","",InputPlayers!D265)</x:f>
      </x:c>
      <x:c r="E264" s="44">
        <x:f>IF($A264="","",InputPlayers!E265)</x:f>
      </x:c>
      <x:c r="F264" s="44">
        <x:f>IF($A264="","",COUNTIFS(InputPlayers!$A$6:$A$305,$A264,InputPlayers!$B$6:$B$305,$B264,InputPlayers!$C$6:$C$305,$C264,InputPlayers!$D$6:$D$305,$D264,InputPlayers!$O$6:$O$305,"Да"))</x:f>
      </x:c>
      <x:c r="G264" s="44">
        <x:f>IF($A264="","",SUMIFS(InputPlayers!$N$6:$N$305,InputPlayers!$A$6:$A$305,$A264,InputPlayers!$B$6:$B$305,$B264,InputPlayers!$C$6:$C$305,$C264,InputPlayers!$D$6:$D$305,$D264,InputPlayers!$O$6:$O$305,"Да"))</x:f>
      </x:c>
      <x:c r="H264" s="44">
        <x:f>IF(InputPlayers!A265="","",TEXT(InputPlayers!A265,"dd.mm.yyyy")&amp;"|"&amp;InputPlayers!B265&amp;"|"&amp;InputPlayers!C265&amp;"|"&amp;InputPlayers!D265)</x:f>
      </x:c>
    </x:row>
    <x:row r="265">
      <x:c r="A265" s="42">
        <x:f>IF(H265="","",IF(COUNTIF($H$5:H265,H265)&gt;1,"",InputPlayers!A266))</x:f>
      </x:c>
      <x:c r="B265" s="43">
        <x:f>IF($A265="","",InputPlayers!B266)</x:f>
      </x:c>
      <x:c r="C265" s="43">
        <x:f>IF($A265="","",InputPlayers!C266)</x:f>
      </x:c>
      <x:c r="D265" s="44">
        <x:f>IF($A265="","",InputPlayers!D266)</x:f>
      </x:c>
      <x:c r="E265" s="44">
        <x:f>IF($A265="","",InputPlayers!E266)</x:f>
      </x:c>
      <x:c r="F265" s="44">
        <x:f>IF($A265="","",COUNTIFS(InputPlayers!$A$6:$A$305,$A265,InputPlayers!$B$6:$B$305,$B265,InputPlayers!$C$6:$C$305,$C265,InputPlayers!$D$6:$D$305,$D265,InputPlayers!$O$6:$O$305,"Да"))</x:f>
      </x:c>
      <x:c r="G265" s="44">
        <x:f>IF($A265="","",SUMIFS(InputPlayers!$N$6:$N$305,InputPlayers!$A$6:$A$305,$A265,InputPlayers!$B$6:$B$305,$B265,InputPlayers!$C$6:$C$305,$C265,InputPlayers!$D$6:$D$305,$D265,InputPlayers!$O$6:$O$305,"Да"))</x:f>
      </x:c>
      <x:c r="H265" s="44">
        <x:f>IF(InputPlayers!A266="","",TEXT(InputPlayers!A266,"dd.mm.yyyy")&amp;"|"&amp;InputPlayers!B266&amp;"|"&amp;InputPlayers!C266&amp;"|"&amp;InputPlayers!D266)</x:f>
      </x:c>
    </x:row>
    <x:row r="266">
      <x:c r="A266" s="42">
        <x:f>IF(H266="","",IF(COUNTIF($H$5:H266,H266)&gt;1,"",InputPlayers!A267))</x:f>
      </x:c>
      <x:c r="B266" s="43">
        <x:f>IF($A266="","",InputPlayers!B267)</x:f>
      </x:c>
      <x:c r="C266" s="43">
        <x:f>IF($A266="","",InputPlayers!C267)</x:f>
      </x:c>
      <x:c r="D266" s="44">
        <x:f>IF($A266="","",InputPlayers!D267)</x:f>
      </x:c>
      <x:c r="E266" s="44">
        <x:f>IF($A266="","",InputPlayers!E267)</x:f>
      </x:c>
      <x:c r="F266" s="44">
        <x:f>IF($A266="","",COUNTIFS(InputPlayers!$A$6:$A$305,$A266,InputPlayers!$B$6:$B$305,$B266,InputPlayers!$C$6:$C$305,$C266,InputPlayers!$D$6:$D$305,$D266,InputPlayers!$O$6:$O$305,"Да"))</x:f>
      </x:c>
      <x:c r="G266" s="44">
        <x:f>IF($A266="","",SUMIFS(InputPlayers!$N$6:$N$305,InputPlayers!$A$6:$A$305,$A266,InputPlayers!$B$6:$B$305,$B266,InputPlayers!$C$6:$C$305,$C266,InputPlayers!$D$6:$D$305,$D266,InputPlayers!$O$6:$O$305,"Да"))</x:f>
      </x:c>
      <x:c r="H266" s="44">
        <x:f>IF(InputPlayers!A267="","",TEXT(InputPlayers!A267,"dd.mm.yyyy")&amp;"|"&amp;InputPlayers!B267&amp;"|"&amp;InputPlayers!C267&amp;"|"&amp;InputPlayers!D267)</x:f>
      </x:c>
    </x:row>
    <x:row r="267">
      <x:c r="A267" s="42">
        <x:f>IF(H267="","",IF(COUNTIF($H$5:H267,H267)&gt;1,"",InputPlayers!A268))</x:f>
      </x:c>
      <x:c r="B267" s="43">
        <x:f>IF($A267="","",InputPlayers!B268)</x:f>
      </x:c>
      <x:c r="C267" s="43">
        <x:f>IF($A267="","",InputPlayers!C268)</x:f>
      </x:c>
      <x:c r="D267" s="44">
        <x:f>IF($A267="","",InputPlayers!D268)</x:f>
      </x:c>
      <x:c r="E267" s="44">
        <x:f>IF($A267="","",InputPlayers!E268)</x:f>
      </x:c>
      <x:c r="F267" s="44">
        <x:f>IF($A267="","",COUNTIFS(InputPlayers!$A$6:$A$305,$A267,InputPlayers!$B$6:$B$305,$B267,InputPlayers!$C$6:$C$305,$C267,InputPlayers!$D$6:$D$305,$D267,InputPlayers!$O$6:$O$305,"Да"))</x:f>
      </x:c>
      <x:c r="G267" s="44">
        <x:f>IF($A267="","",SUMIFS(InputPlayers!$N$6:$N$305,InputPlayers!$A$6:$A$305,$A267,InputPlayers!$B$6:$B$305,$B267,InputPlayers!$C$6:$C$305,$C267,InputPlayers!$D$6:$D$305,$D267,InputPlayers!$O$6:$O$305,"Да"))</x:f>
      </x:c>
      <x:c r="H267" s="44">
        <x:f>IF(InputPlayers!A268="","",TEXT(InputPlayers!A268,"dd.mm.yyyy")&amp;"|"&amp;InputPlayers!B268&amp;"|"&amp;InputPlayers!C268&amp;"|"&amp;InputPlayers!D268)</x:f>
      </x:c>
    </x:row>
    <x:row r="268">
      <x:c r="A268" s="42">
        <x:f>IF(H268="","",IF(COUNTIF($H$5:H268,H268)&gt;1,"",InputPlayers!A269))</x:f>
      </x:c>
      <x:c r="B268" s="43">
        <x:f>IF($A268="","",InputPlayers!B269)</x:f>
      </x:c>
      <x:c r="C268" s="43">
        <x:f>IF($A268="","",InputPlayers!C269)</x:f>
      </x:c>
      <x:c r="D268" s="44">
        <x:f>IF($A268="","",InputPlayers!D269)</x:f>
      </x:c>
      <x:c r="E268" s="44">
        <x:f>IF($A268="","",InputPlayers!E269)</x:f>
      </x:c>
      <x:c r="F268" s="44">
        <x:f>IF($A268="","",COUNTIFS(InputPlayers!$A$6:$A$305,$A268,InputPlayers!$B$6:$B$305,$B268,InputPlayers!$C$6:$C$305,$C268,InputPlayers!$D$6:$D$305,$D268,InputPlayers!$O$6:$O$305,"Да"))</x:f>
      </x:c>
      <x:c r="G268" s="44">
        <x:f>IF($A268="","",SUMIFS(InputPlayers!$N$6:$N$305,InputPlayers!$A$6:$A$305,$A268,InputPlayers!$B$6:$B$305,$B268,InputPlayers!$C$6:$C$305,$C268,InputPlayers!$D$6:$D$305,$D268,InputPlayers!$O$6:$O$305,"Да"))</x:f>
      </x:c>
      <x:c r="H268" s="44">
        <x:f>IF(InputPlayers!A269="","",TEXT(InputPlayers!A269,"dd.mm.yyyy")&amp;"|"&amp;InputPlayers!B269&amp;"|"&amp;InputPlayers!C269&amp;"|"&amp;InputPlayers!D269)</x:f>
      </x:c>
    </x:row>
    <x:row r="269">
      <x:c r="A269" s="42">
        <x:f>IF(H269="","",IF(COUNTIF($H$5:H269,H269)&gt;1,"",InputPlayers!A270))</x:f>
      </x:c>
      <x:c r="B269" s="43">
        <x:f>IF($A269="","",InputPlayers!B270)</x:f>
      </x:c>
      <x:c r="C269" s="43">
        <x:f>IF($A269="","",InputPlayers!C270)</x:f>
      </x:c>
      <x:c r="D269" s="44">
        <x:f>IF($A269="","",InputPlayers!D270)</x:f>
      </x:c>
      <x:c r="E269" s="44">
        <x:f>IF($A269="","",InputPlayers!E270)</x:f>
      </x:c>
      <x:c r="F269" s="44">
        <x:f>IF($A269="","",COUNTIFS(InputPlayers!$A$6:$A$305,$A269,InputPlayers!$B$6:$B$305,$B269,InputPlayers!$C$6:$C$305,$C269,InputPlayers!$D$6:$D$305,$D269,InputPlayers!$O$6:$O$305,"Да"))</x:f>
      </x:c>
      <x:c r="G269" s="44">
        <x:f>IF($A269="","",SUMIFS(InputPlayers!$N$6:$N$305,InputPlayers!$A$6:$A$305,$A269,InputPlayers!$B$6:$B$305,$B269,InputPlayers!$C$6:$C$305,$C269,InputPlayers!$D$6:$D$305,$D269,InputPlayers!$O$6:$O$305,"Да"))</x:f>
      </x:c>
      <x:c r="H269" s="44">
        <x:f>IF(InputPlayers!A270="","",TEXT(InputPlayers!A270,"dd.mm.yyyy")&amp;"|"&amp;InputPlayers!B270&amp;"|"&amp;InputPlayers!C270&amp;"|"&amp;InputPlayers!D270)</x:f>
      </x:c>
    </x:row>
    <x:row r="270">
      <x:c r="A270" s="42">
        <x:f>IF(H270="","",IF(COUNTIF($H$5:H270,H270)&gt;1,"",InputPlayers!A271))</x:f>
      </x:c>
      <x:c r="B270" s="43">
        <x:f>IF($A270="","",InputPlayers!B271)</x:f>
      </x:c>
      <x:c r="C270" s="43">
        <x:f>IF($A270="","",InputPlayers!C271)</x:f>
      </x:c>
      <x:c r="D270" s="44">
        <x:f>IF($A270="","",InputPlayers!D271)</x:f>
      </x:c>
      <x:c r="E270" s="44">
        <x:f>IF($A270="","",InputPlayers!E271)</x:f>
      </x:c>
      <x:c r="F270" s="44">
        <x:f>IF($A270="","",COUNTIFS(InputPlayers!$A$6:$A$305,$A270,InputPlayers!$B$6:$B$305,$B270,InputPlayers!$C$6:$C$305,$C270,InputPlayers!$D$6:$D$305,$D270,InputPlayers!$O$6:$O$305,"Да"))</x:f>
      </x:c>
      <x:c r="G270" s="44">
        <x:f>IF($A270="","",SUMIFS(InputPlayers!$N$6:$N$305,InputPlayers!$A$6:$A$305,$A270,InputPlayers!$B$6:$B$305,$B270,InputPlayers!$C$6:$C$305,$C270,InputPlayers!$D$6:$D$305,$D270,InputPlayers!$O$6:$O$305,"Да"))</x:f>
      </x:c>
      <x:c r="H270" s="44">
        <x:f>IF(InputPlayers!A271="","",TEXT(InputPlayers!A271,"dd.mm.yyyy")&amp;"|"&amp;InputPlayers!B271&amp;"|"&amp;InputPlayers!C271&amp;"|"&amp;InputPlayers!D271)</x:f>
      </x:c>
    </x:row>
    <x:row r="271">
      <x:c r="A271" s="42">
        <x:f>IF(H271="","",IF(COUNTIF($H$5:H271,H271)&gt;1,"",InputPlayers!A272))</x:f>
      </x:c>
      <x:c r="B271" s="43">
        <x:f>IF($A271="","",InputPlayers!B272)</x:f>
      </x:c>
      <x:c r="C271" s="43">
        <x:f>IF($A271="","",InputPlayers!C272)</x:f>
      </x:c>
      <x:c r="D271" s="44">
        <x:f>IF($A271="","",InputPlayers!D272)</x:f>
      </x:c>
      <x:c r="E271" s="44">
        <x:f>IF($A271="","",InputPlayers!E272)</x:f>
      </x:c>
      <x:c r="F271" s="44">
        <x:f>IF($A271="","",COUNTIFS(InputPlayers!$A$6:$A$305,$A271,InputPlayers!$B$6:$B$305,$B271,InputPlayers!$C$6:$C$305,$C271,InputPlayers!$D$6:$D$305,$D271,InputPlayers!$O$6:$O$305,"Да"))</x:f>
      </x:c>
      <x:c r="G271" s="44">
        <x:f>IF($A271="","",SUMIFS(InputPlayers!$N$6:$N$305,InputPlayers!$A$6:$A$305,$A271,InputPlayers!$B$6:$B$305,$B271,InputPlayers!$C$6:$C$305,$C271,InputPlayers!$D$6:$D$305,$D271,InputPlayers!$O$6:$O$305,"Да"))</x:f>
      </x:c>
      <x:c r="H271" s="44">
        <x:f>IF(InputPlayers!A272="","",TEXT(InputPlayers!A272,"dd.mm.yyyy")&amp;"|"&amp;InputPlayers!B272&amp;"|"&amp;InputPlayers!C272&amp;"|"&amp;InputPlayers!D272)</x:f>
      </x:c>
    </x:row>
    <x:row r="272">
      <x:c r="A272" s="42">
        <x:f>IF(H272="","",IF(COUNTIF($H$5:H272,H272)&gt;1,"",InputPlayers!A273))</x:f>
      </x:c>
      <x:c r="B272" s="43">
        <x:f>IF($A272="","",InputPlayers!B273)</x:f>
      </x:c>
      <x:c r="C272" s="43">
        <x:f>IF($A272="","",InputPlayers!C273)</x:f>
      </x:c>
      <x:c r="D272" s="44">
        <x:f>IF($A272="","",InputPlayers!D273)</x:f>
      </x:c>
      <x:c r="E272" s="44">
        <x:f>IF($A272="","",InputPlayers!E273)</x:f>
      </x:c>
      <x:c r="F272" s="44">
        <x:f>IF($A272="","",COUNTIFS(InputPlayers!$A$6:$A$305,$A272,InputPlayers!$B$6:$B$305,$B272,InputPlayers!$C$6:$C$305,$C272,InputPlayers!$D$6:$D$305,$D272,InputPlayers!$O$6:$O$305,"Да"))</x:f>
      </x:c>
      <x:c r="G272" s="44">
        <x:f>IF($A272="","",SUMIFS(InputPlayers!$N$6:$N$305,InputPlayers!$A$6:$A$305,$A272,InputPlayers!$B$6:$B$305,$B272,InputPlayers!$C$6:$C$305,$C272,InputPlayers!$D$6:$D$305,$D272,InputPlayers!$O$6:$O$305,"Да"))</x:f>
      </x:c>
      <x:c r="H272" s="44">
        <x:f>IF(InputPlayers!A273="","",TEXT(InputPlayers!A273,"dd.mm.yyyy")&amp;"|"&amp;InputPlayers!B273&amp;"|"&amp;InputPlayers!C273&amp;"|"&amp;InputPlayers!D273)</x:f>
      </x:c>
    </x:row>
    <x:row r="273">
      <x:c r="A273" s="42">
        <x:f>IF(H273="","",IF(COUNTIF($H$5:H273,H273)&gt;1,"",InputPlayers!A274))</x:f>
      </x:c>
      <x:c r="B273" s="43">
        <x:f>IF($A273="","",InputPlayers!B274)</x:f>
      </x:c>
      <x:c r="C273" s="43">
        <x:f>IF($A273="","",InputPlayers!C274)</x:f>
      </x:c>
      <x:c r="D273" s="44">
        <x:f>IF($A273="","",InputPlayers!D274)</x:f>
      </x:c>
      <x:c r="E273" s="44">
        <x:f>IF($A273="","",InputPlayers!E274)</x:f>
      </x:c>
      <x:c r="F273" s="44">
        <x:f>IF($A273="","",COUNTIFS(InputPlayers!$A$6:$A$305,$A273,InputPlayers!$B$6:$B$305,$B273,InputPlayers!$C$6:$C$305,$C273,InputPlayers!$D$6:$D$305,$D273,InputPlayers!$O$6:$O$305,"Да"))</x:f>
      </x:c>
      <x:c r="G273" s="44">
        <x:f>IF($A273="","",SUMIFS(InputPlayers!$N$6:$N$305,InputPlayers!$A$6:$A$305,$A273,InputPlayers!$B$6:$B$305,$B273,InputPlayers!$C$6:$C$305,$C273,InputPlayers!$D$6:$D$305,$D273,InputPlayers!$O$6:$O$305,"Да"))</x:f>
      </x:c>
      <x:c r="H273" s="44">
        <x:f>IF(InputPlayers!A274="","",TEXT(InputPlayers!A274,"dd.mm.yyyy")&amp;"|"&amp;InputPlayers!B274&amp;"|"&amp;InputPlayers!C274&amp;"|"&amp;InputPlayers!D274)</x:f>
      </x:c>
    </x:row>
    <x:row r="274">
      <x:c r="A274" s="42">
        <x:f>IF(H274="","",IF(COUNTIF($H$5:H274,H274)&gt;1,"",InputPlayers!A275))</x:f>
      </x:c>
      <x:c r="B274" s="43">
        <x:f>IF($A274="","",InputPlayers!B275)</x:f>
      </x:c>
      <x:c r="C274" s="43">
        <x:f>IF($A274="","",InputPlayers!C275)</x:f>
      </x:c>
      <x:c r="D274" s="44">
        <x:f>IF($A274="","",InputPlayers!D275)</x:f>
      </x:c>
      <x:c r="E274" s="44">
        <x:f>IF($A274="","",InputPlayers!E275)</x:f>
      </x:c>
      <x:c r="F274" s="44">
        <x:f>IF($A274="","",COUNTIFS(InputPlayers!$A$6:$A$305,$A274,InputPlayers!$B$6:$B$305,$B274,InputPlayers!$C$6:$C$305,$C274,InputPlayers!$D$6:$D$305,$D274,InputPlayers!$O$6:$O$305,"Да"))</x:f>
      </x:c>
      <x:c r="G274" s="44">
        <x:f>IF($A274="","",SUMIFS(InputPlayers!$N$6:$N$305,InputPlayers!$A$6:$A$305,$A274,InputPlayers!$B$6:$B$305,$B274,InputPlayers!$C$6:$C$305,$C274,InputPlayers!$D$6:$D$305,$D274,InputPlayers!$O$6:$O$305,"Да"))</x:f>
      </x:c>
      <x:c r="H274" s="44">
        <x:f>IF(InputPlayers!A275="","",TEXT(InputPlayers!A275,"dd.mm.yyyy")&amp;"|"&amp;InputPlayers!B275&amp;"|"&amp;InputPlayers!C275&amp;"|"&amp;InputPlayers!D275)</x:f>
      </x:c>
    </x:row>
    <x:row r="275">
      <x:c r="A275" s="42">
        <x:f>IF(H275="","",IF(COUNTIF($H$5:H275,H275)&gt;1,"",InputPlayers!A276))</x:f>
      </x:c>
      <x:c r="B275" s="43">
        <x:f>IF($A275="","",InputPlayers!B276)</x:f>
      </x:c>
      <x:c r="C275" s="43">
        <x:f>IF($A275="","",InputPlayers!C276)</x:f>
      </x:c>
      <x:c r="D275" s="44">
        <x:f>IF($A275="","",InputPlayers!D276)</x:f>
      </x:c>
      <x:c r="E275" s="44">
        <x:f>IF($A275="","",InputPlayers!E276)</x:f>
      </x:c>
      <x:c r="F275" s="44">
        <x:f>IF($A275="","",COUNTIFS(InputPlayers!$A$6:$A$305,$A275,InputPlayers!$B$6:$B$305,$B275,InputPlayers!$C$6:$C$305,$C275,InputPlayers!$D$6:$D$305,$D275,InputPlayers!$O$6:$O$305,"Да"))</x:f>
      </x:c>
      <x:c r="G275" s="44">
        <x:f>IF($A275="","",SUMIFS(InputPlayers!$N$6:$N$305,InputPlayers!$A$6:$A$305,$A275,InputPlayers!$B$6:$B$305,$B275,InputPlayers!$C$6:$C$305,$C275,InputPlayers!$D$6:$D$305,$D275,InputPlayers!$O$6:$O$305,"Да"))</x:f>
      </x:c>
      <x:c r="H275" s="44">
        <x:f>IF(InputPlayers!A276="","",TEXT(InputPlayers!A276,"dd.mm.yyyy")&amp;"|"&amp;InputPlayers!B276&amp;"|"&amp;InputPlayers!C276&amp;"|"&amp;InputPlayers!D276)</x:f>
      </x:c>
    </x:row>
    <x:row r="276">
      <x:c r="A276" s="42">
        <x:f>IF(H276="","",IF(COUNTIF($H$5:H276,H276)&gt;1,"",InputPlayers!A277))</x:f>
      </x:c>
      <x:c r="B276" s="43">
        <x:f>IF($A276="","",InputPlayers!B277)</x:f>
      </x:c>
      <x:c r="C276" s="43">
        <x:f>IF($A276="","",InputPlayers!C277)</x:f>
      </x:c>
      <x:c r="D276" s="44">
        <x:f>IF($A276="","",InputPlayers!D277)</x:f>
      </x:c>
      <x:c r="E276" s="44">
        <x:f>IF($A276="","",InputPlayers!E277)</x:f>
      </x:c>
      <x:c r="F276" s="44">
        <x:f>IF($A276="","",COUNTIFS(InputPlayers!$A$6:$A$305,$A276,InputPlayers!$B$6:$B$305,$B276,InputPlayers!$C$6:$C$305,$C276,InputPlayers!$D$6:$D$305,$D276,InputPlayers!$O$6:$O$305,"Да"))</x:f>
      </x:c>
      <x:c r="G276" s="44">
        <x:f>IF($A276="","",SUMIFS(InputPlayers!$N$6:$N$305,InputPlayers!$A$6:$A$305,$A276,InputPlayers!$B$6:$B$305,$B276,InputPlayers!$C$6:$C$305,$C276,InputPlayers!$D$6:$D$305,$D276,InputPlayers!$O$6:$O$305,"Да"))</x:f>
      </x:c>
      <x:c r="H276" s="44">
        <x:f>IF(InputPlayers!A277="","",TEXT(InputPlayers!A277,"dd.mm.yyyy")&amp;"|"&amp;InputPlayers!B277&amp;"|"&amp;InputPlayers!C277&amp;"|"&amp;InputPlayers!D277)</x:f>
      </x:c>
    </x:row>
    <x:row r="277">
      <x:c r="A277" s="42">
        <x:f>IF(H277="","",IF(COUNTIF($H$5:H277,H277)&gt;1,"",InputPlayers!A278))</x:f>
      </x:c>
      <x:c r="B277" s="43">
        <x:f>IF($A277="","",InputPlayers!B278)</x:f>
      </x:c>
      <x:c r="C277" s="43">
        <x:f>IF($A277="","",InputPlayers!C278)</x:f>
      </x:c>
      <x:c r="D277" s="44">
        <x:f>IF($A277="","",InputPlayers!D278)</x:f>
      </x:c>
      <x:c r="E277" s="44">
        <x:f>IF($A277="","",InputPlayers!E278)</x:f>
      </x:c>
      <x:c r="F277" s="44">
        <x:f>IF($A277="","",COUNTIFS(InputPlayers!$A$6:$A$305,$A277,InputPlayers!$B$6:$B$305,$B277,InputPlayers!$C$6:$C$305,$C277,InputPlayers!$D$6:$D$305,$D277,InputPlayers!$O$6:$O$305,"Да"))</x:f>
      </x:c>
      <x:c r="G277" s="44">
        <x:f>IF($A277="","",SUMIFS(InputPlayers!$N$6:$N$305,InputPlayers!$A$6:$A$305,$A277,InputPlayers!$B$6:$B$305,$B277,InputPlayers!$C$6:$C$305,$C277,InputPlayers!$D$6:$D$305,$D277,InputPlayers!$O$6:$O$305,"Да"))</x:f>
      </x:c>
      <x:c r="H277" s="44">
        <x:f>IF(InputPlayers!A278="","",TEXT(InputPlayers!A278,"dd.mm.yyyy")&amp;"|"&amp;InputPlayers!B278&amp;"|"&amp;InputPlayers!C278&amp;"|"&amp;InputPlayers!D278)</x:f>
      </x:c>
    </x:row>
    <x:row r="278">
      <x:c r="A278" s="42">
        <x:f>IF(H278="","",IF(COUNTIF($H$5:H278,H278)&gt;1,"",InputPlayers!A279))</x:f>
      </x:c>
      <x:c r="B278" s="43">
        <x:f>IF($A278="","",InputPlayers!B279)</x:f>
      </x:c>
      <x:c r="C278" s="43">
        <x:f>IF($A278="","",InputPlayers!C279)</x:f>
      </x:c>
      <x:c r="D278" s="44">
        <x:f>IF($A278="","",InputPlayers!D279)</x:f>
      </x:c>
      <x:c r="E278" s="44">
        <x:f>IF($A278="","",InputPlayers!E279)</x:f>
      </x:c>
      <x:c r="F278" s="44">
        <x:f>IF($A278="","",COUNTIFS(InputPlayers!$A$6:$A$305,$A278,InputPlayers!$B$6:$B$305,$B278,InputPlayers!$C$6:$C$305,$C278,InputPlayers!$D$6:$D$305,$D278,InputPlayers!$O$6:$O$305,"Да"))</x:f>
      </x:c>
      <x:c r="G278" s="44">
        <x:f>IF($A278="","",SUMIFS(InputPlayers!$N$6:$N$305,InputPlayers!$A$6:$A$305,$A278,InputPlayers!$B$6:$B$305,$B278,InputPlayers!$C$6:$C$305,$C278,InputPlayers!$D$6:$D$305,$D278,InputPlayers!$O$6:$O$305,"Да"))</x:f>
      </x:c>
      <x:c r="H278" s="44">
        <x:f>IF(InputPlayers!A279="","",TEXT(InputPlayers!A279,"dd.mm.yyyy")&amp;"|"&amp;InputPlayers!B279&amp;"|"&amp;InputPlayers!C279&amp;"|"&amp;InputPlayers!D279)</x:f>
      </x:c>
    </x:row>
    <x:row r="279">
      <x:c r="A279" s="42">
        <x:f>IF(H279="","",IF(COUNTIF($H$5:H279,H279)&gt;1,"",InputPlayers!A280))</x:f>
      </x:c>
      <x:c r="B279" s="43">
        <x:f>IF($A279="","",InputPlayers!B280)</x:f>
      </x:c>
      <x:c r="C279" s="43">
        <x:f>IF($A279="","",InputPlayers!C280)</x:f>
      </x:c>
      <x:c r="D279" s="44">
        <x:f>IF($A279="","",InputPlayers!D280)</x:f>
      </x:c>
      <x:c r="E279" s="44">
        <x:f>IF($A279="","",InputPlayers!E280)</x:f>
      </x:c>
      <x:c r="F279" s="44">
        <x:f>IF($A279="","",COUNTIFS(InputPlayers!$A$6:$A$305,$A279,InputPlayers!$B$6:$B$305,$B279,InputPlayers!$C$6:$C$305,$C279,InputPlayers!$D$6:$D$305,$D279,InputPlayers!$O$6:$O$305,"Да"))</x:f>
      </x:c>
      <x:c r="G279" s="44">
        <x:f>IF($A279="","",SUMIFS(InputPlayers!$N$6:$N$305,InputPlayers!$A$6:$A$305,$A279,InputPlayers!$B$6:$B$305,$B279,InputPlayers!$C$6:$C$305,$C279,InputPlayers!$D$6:$D$305,$D279,InputPlayers!$O$6:$O$305,"Да"))</x:f>
      </x:c>
      <x:c r="H279" s="44">
        <x:f>IF(InputPlayers!A280="","",TEXT(InputPlayers!A280,"dd.mm.yyyy")&amp;"|"&amp;InputPlayers!B280&amp;"|"&amp;InputPlayers!C280&amp;"|"&amp;InputPlayers!D280)</x:f>
      </x:c>
    </x:row>
    <x:row r="280">
      <x:c r="A280" s="42">
        <x:f>IF(H280="","",IF(COUNTIF($H$5:H280,H280)&gt;1,"",InputPlayers!A281))</x:f>
      </x:c>
      <x:c r="B280" s="43">
        <x:f>IF($A280="","",InputPlayers!B281)</x:f>
      </x:c>
      <x:c r="C280" s="43">
        <x:f>IF($A280="","",InputPlayers!C281)</x:f>
      </x:c>
      <x:c r="D280" s="44">
        <x:f>IF($A280="","",InputPlayers!D281)</x:f>
      </x:c>
      <x:c r="E280" s="44">
        <x:f>IF($A280="","",InputPlayers!E281)</x:f>
      </x:c>
      <x:c r="F280" s="44">
        <x:f>IF($A280="","",COUNTIFS(InputPlayers!$A$6:$A$305,$A280,InputPlayers!$B$6:$B$305,$B280,InputPlayers!$C$6:$C$305,$C280,InputPlayers!$D$6:$D$305,$D280,InputPlayers!$O$6:$O$305,"Да"))</x:f>
      </x:c>
      <x:c r="G280" s="44">
        <x:f>IF($A280="","",SUMIFS(InputPlayers!$N$6:$N$305,InputPlayers!$A$6:$A$305,$A280,InputPlayers!$B$6:$B$305,$B280,InputPlayers!$C$6:$C$305,$C280,InputPlayers!$D$6:$D$305,$D280,InputPlayers!$O$6:$O$305,"Да"))</x:f>
      </x:c>
      <x:c r="H280" s="44">
        <x:f>IF(InputPlayers!A281="","",TEXT(InputPlayers!A281,"dd.mm.yyyy")&amp;"|"&amp;InputPlayers!B281&amp;"|"&amp;InputPlayers!C281&amp;"|"&amp;InputPlayers!D281)</x:f>
      </x:c>
    </x:row>
    <x:row r="281">
      <x:c r="A281" s="42">
        <x:f>IF(H281="","",IF(COUNTIF($H$5:H281,H281)&gt;1,"",InputPlayers!A282))</x:f>
      </x:c>
      <x:c r="B281" s="43">
        <x:f>IF($A281="","",InputPlayers!B282)</x:f>
      </x:c>
      <x:c r="C281" s="43">
        <x:f>IF($A281="","",InputPlayers!C282)</x:f>
      </x:c>
      <x:c r="D281" s="44">
        <x:f>IF($A281="","",InputPlayers!D282)</x:f>
      </x:c>
      <x:c r="E281" s="44">
        <x:f>IF($A281="","",InputPlayers!E282)</x:f>
      </x:c>
      <x:c r="F281" s="44">
        <x:f>IF($A281="","",COUNTIFS(InputPlayers!$A$6:$A$305,$A281,InputPlayers!$B$6:$B$305,$B281,InputPlayers!$C$6:$C$305,$C281,InputPlayers!$D$6:$D$305,$D281,InputPlayers!$O$6:$O$305,"Да"))</x:f>
      </x:c>
      <x:c r="G281" s="44">
        <x:f>IF($A281="","",SUMIFS(InputPlayers!$N$6:$N$305,InputPlayers!$A$6:$A$305,$A281,InputPlayers!$B$6:$B$305,$B281,InputPlayers!$C$6:$C$305,$C281,InputPlayers!$D$6:$D$305,$D281,InputPlayers!$O$6:$O$305,"Да"))</x:f>
      </x:c>
      <x:c r="H281" s="44">
        <x:f>IF(InputPlayers!A282="","",TEXT(InputPlayers!A282,"dd.mm.yyyy")&amp;"|"&amp;InputPlayers!B282&amp;"|"&amp;InputPlayers!C282&amp;"|"&amp;InputPlayers!D282)</x:f>
      </x:c>
    </x:row>
    <x:row r="282">
      <x:c r="A282" s="42">
        <x:f>IF(H282="","",IF(COUNTIF($H$5:H282,H282)&gt;1,"",InputPlayers!A283))</x:f>
      </x:c>
      <x:c r="B282" s="43">
        <x:f>IF($A282="","",InputPlayers!B283)</x:f>
      </x:c>
      <x:c r="C282" s="43">
        <x:f>IF($A282="","",InputPlayers!C283)</x:f>
      </x:c>
      <x:c r="D282" s="44">
        <x:f>IF($A282="","",InputPlayers!D283)</x:f>
      </x:c>
      <x:c r="E282" s="44">
        <x:f>IF($A282="","",InputPlayers!E283)</x:f>
      </x:c>
      <x:c r="F282" s="44">
        <x:f>IF($A282="","",COUNTIFS(InputPlayers!$A$6:$A$305,$A282,InputPlayers!$B$6:$B$305,$B282,InputPlayers!$C$6:$C$305,$C282,InputPlayers!$D$6:$D$305,$D282,InputPlayers!$O$6:$O$305,"Да"))</x:f>
      </x:c>
      <x:c r="G282" s="44">
        <x:f>IF($A282="","",SUMIFS(InputPlayers!$N$6:$N$305,InputPlayers!$A$6:$A$305,$A282,InputPlayers!$B$6:$B$305,$B282,InputPlayers!$C$6:$C$305,$C282,InputPlayers!$D$6:$D$305,$D282,InputPlayers!$O$6:$O$305,"Да"))</x:f>
      </x:c>
      <x:c r="H282" s="44">
        <x:f>IF(InputPlayers!A283="","",TEXT(InputPlayers!A283,"dd.mm.yyyy")&amp;"|"&amp;InputPlayers!B283&amp;"|"&amp;InputPlayers!C283&amp;"|"&amp;InputPlayers!D283)</x:f>
      </x:c>
    </x:row>
    <x:row r="283">
      <x:c r="A283" s="42">
        <x:f>IF(H283="","",IF(COUNTIF($H$5:H283,H283)&gt;1,"",InputPlayers!A284))</x:f>
      </x:c>
      <x:c r="B283" s="43">
        <x:f>IF($A283="","",InputPlayers!B284)</x:f>
      </x:c>
      <x:c r="C283" s="43">
        <x:f>IF($A283="","",InputPlayers!C284)</x:f>
      </x:c>
      <x:c r="D283" s="44">
        <x:f>IF($A283="","",InputPlayers!D284)</x:f>
      </x:c>
      <x:c r="E283" s="44">
        <x:f>IF($A283="","",InputPlayers!E284)</x:f>
      </x:c>
      <x:c r="F283" s="44">
        <x:f>IF($A283="","",COUNTIFS(InputPlayers!$A$6:$A$305,$A283,InputPlayers!$B$6:$B$305,$B283,InputPlayers!$C$6:$C$305,$C283,InputPlayers!$D$6:$D$305,$D283,InputPlayers!$O$6:$O$305,"Да"))</x:f>
      </x:c>
      <x:c r="G283" s="44">
        <x:f>IF($A283="","",SUMIFS(InputPlayers!$N$6:$N$305,InputPlayers!$A$6:$A$305,$A283,InputPlayers!$B$6:$B$305,$B283,InputPlayers!$C$6:$C$305,$C283,InputPlayers!$D$6:$D$305,$D283,InputPlayers!$O$6:$O$305,"Да"))</x:f>
      </x:c>
      <x:c r="H283" s="44">
        <x:f>IF(InputPlayers!A284="","",TEXT(InputPlayers!A284,"dd.mm.yyyy")&amp;"|"&amp;InputPlayers!B284&amp;"|"&amp;InputPlayers!C284&amp;"|"&amp;InputPlayers!D284)</x:f>
      </x:c>
    </x:row>
    <x:row r="284">
      <x:c r="A284" s="42">
        <x:f>IF(H284="","",IF(COUNTIF($H$5:H284,H284)&gt;1,"",InputPlayers!A285))</x:f>
      </x:c>
      <x:c r="B284" s="43">
        <x:f>IF($A284="","",InputPlayers!B285)</x:f>
      </x:c>
      <x:c r="C284" s="43">
        <x:f>IF($A284="","",InputPlayers!C285)</x:f>
      </x:c>
      <x:c r="D284" s="44">
        <x:f>IF($A284="","",InputPlayers!D285)</x:f>
      </x:c>
      <x:c r="E284" s="44">
        <x:f>IF($A284="","",InputPlayers!E285)</x:f>
      </x:c>
      <x:c r="F284" s="44">
        <x:f>IF($A284="","",COUNTIFS(InputPlayers!$A$6:$A$305,$A284,InputPlayers!$B$6:$B$305,$B284,InputPlayers!$C$6:$C$305,$C284,InputPlayers!$D$6:$D$305,$D284,InputPlayers!$O$6:$O$305,"Да"))</x:f>
      </x:c>
      <x:c r="G284" s="44">
        <x:f>IF($A284="","",SUMIFS(InputPlayers!$N$6:$N$305,InputPlayers!$A$6:$A$305,$A284,InputPlayers!$B$6:$B$305,$B284,InputPlayers!$C$6:$C$305,$C284,InputPlayers!$D$6:$D$305,$D284,InputPlayers!$O$6:$O$305,"Да"))</x:f>
      </x:c>
      <x:c r="H284" s="44">
        <x:f>IF(InputPlayers!A285="","",TEXT(InputPlayers!A285,"dd.mm.yyyy")&amp;"|"&amp;InputPlayers!B285&amp;"|"&amp;InputPlayers!C285&amp;"|"&amp;InputPlayers!D285)</x:f>
      </x:c>
    </x:row>
    <x:row r="285">
      <x:c r="A285" s="42">
        <x:f>IF(H285="","",IF(COUNTIF($H$5:H285,H285)&gt;1,"",InputPlayers!A286))</x:f>
      </x:c>
      <x:c r="B285" s="43">
        <x:f>IF($A285="","",InputPlayers!B286)</x:f>
      </x:c>
      <x:c r="C285" s="43">
        <x:f>IF($A285="","",InputPlayers!C286)</x:f>
      </x:c>
      <x:c r="D285" s="44">
        <x:f>IF($A285="","",InputPlayers!D286)</x:f>
      </x:c>
      <x:c r="E285" s="44">
        <x:f>IF($A285="","",InputPlayers!E286)</x:f>
      </x:c>
      <x:c r="F285" s="44">
        <x:f>IF($A285="","",COUNTIFS(InputPlayers!$A$6:$A$305,$A285,InputPlayers!$B$6:$B$305,$B285,InputPlayers!$C$6:$C$305,$C285,InputPlayers!$D$6:$D$305,$D285,InputPlayers!$O$6:$O$305,"Да"))</x:f>
      </x:c>
      <x:c r="G285" s="44">
        <x:f>IF($A285="","",SUMIFS(InputPlayers!$N$6:$N$305,InputPlayers!$A$6:$A$305,$A285,InputPlayers!$B$6:$B$305,$B285,InputPlayers!$C$6:$C$305,$C285,InputPlayers!$D$6:$D$305,$D285,InputPlayers!$O$6:$O$305,"Да"))</x:f>
      </x:c>
      <x:c r="H285" s="44">
        <x:f>IF(InputPlayers!A286="","",TEXT(InputPlayers!A286,"dd.mm.yyyy")&amp;"|"&amp;InputPlayers!B286&amp;"|"&amp;InputPlayers!C286&amp;"|"&amp;InputPlayers!D286)</x:f>
      </x:c>
    </x:row>
    <x:row r="286">
      <x:c r="A286" s="42">
        <x:f>IF(H286="","",IF(COUNTIF($H$5:H286,H286)&gt;1,"",InputPlayers!A287))</x:f>
      </x:c>
      <x:c r="B286" s="43">
        <x:f>IF($A286="","",InputPlayers!B287)</x:f>
      </x:c>
      <x:c r="C286" s="43">
        <x:f>IF($A286="","",InputPlayers!C287)</x:f>
      </x:c>
      <x:c r="D286" s="44">
        <x:f>IF($A286="","",InputPlayers!D287)</x:f>
      </x:c>
      <x:c r="E286" s="44">
        <x:f>IF($A286="","",InputPlayers!E287)</x:f>
      </x:c>
      <x:c r="F286" s="44">
        <x:f>IF($A286="","",COUNTIFS(InputPlayers!$A$6:$A$305,$A286,InputPlayers!$B$6:$B$305,$B286,InputPlayers!$C$6:$C$305,$C286,InputPlayers!$D$6:$D$305,$D286,InputPlayers!$O$6:$O$305,"Да"))</x:f>
      </x:c>
      <x:c r="G286" s="44">
        <x:f>IF($A286="","",SUMIFS(InputPlayers!$N$6:$N$305,InputPlayers!$A$6:$A$305,$A286,InputPlayers!$B$6:$B$305,$B286,InputPlayers!$C$6:$C$305,$C286,InputPlayers!$D$6:$D$305,$D286,InputPlayers!$O$6:$O$305,"Да"))</x:f>
      </x:c>
      <x:c r="H286" s="44">
        <x:f>IF(InputPlayers!A287="","",TEXT(InputPlayers!A287,"dd.mm.yyyy")&amp;"|"&amp;InputPlayers!B287&amp;"|"&amp;InputPlayers!C287&amp;"|"&amp;InputPlayers!D287)</x:f>
      </x:c>
    </x:row>
    <x:row r="287">
      <x:c r="A287" s="42">
        <x:f>IF(H287="","",IF(COUNTIF($H$5:H287,H287)&gt;1,"",InputPlayers!A288))</x:f>
      </x:c>
      <x:c r="B287" s="43">
        <x:f>IF($A287="","",InputPlayers!B288)</x:f>
      </x:c>
      <x:c r="C287" s="43">
        <x:f>IF($A287="","",InputPlayers!C288)</x:f>
      </x:c>
      <x:c r="D287" s="44">
        <x:f>IF($A287="","",InputPlayers!D288)</x:f>
      </x:c>
      <x:c r="E287" s="44">
        <x:f>IF($A287="","",InputPlayers!E288)</x:f>
      </x:c>
      <x:c r="F287" s="44">
        <x:f>IF($A287="","",COUNTIFS(InputPlayers!$A$6:$A$305,$A287,InputPlayers!$B$6:$B$305,$B287,InputPlayers!$C$6:$C$305,$C287,InputPlayers!$D$6:$D$305,$D287,InputPlayers!$O$6:$O$305,"Да"))</x:f>
      </x:c>
      <x:c r="G287" s="44">
        <x:f>IF($A287="","",SUMIFS(InputPlayers!$N$6:$N$305,InputPlayers!$A$6:$A$305,$A287,InputPlayers!$B$6:$B$305,$B287,InputPlayers!$C$6:$C$305,$C287,InputPlayers!$D$6:$D$305,$D287,InputPlayers!$O$6:$O$305,"Да"))</x:f>
      </x:c>
      <x:c r="H287" s="44">
        <x:f>IF(InputPlayers!A288="","",TEXT(InputPlayers!A288,"dd.mm.yyyy")&amp;"|"&amp;InputPlayers!B288&amp;"|"&amp;InputPlayers!C288&amp;"|"&amp;InputPlayers!D288)</x:f>
      </x:c>
    </x:row>
    <x:row r="288">
      <x:c r="A288" s="42">
        <x:f>IF(H288="","",IF(COUNTIF($H$5:H288,H288)&gt;1,"",InputPlayers!A289))</x:f>
      </x:c>
      <x:c r="B288" s="43">
        <x:f>IF($A288="","",InputPlayers!B289)</x:f>
      </x:c>
      <x:c r="C288" s="43">
        <x:f>IF($A288="","",InputPlayers!C289)</x:f>
      </x:c>
      <x:c r="D288" s="44">
        <x:f>IF($A288="","",InputPlayers!D289)</x:f>
      </x:c>
      <x:c r="E288" s="44">
        <x:f>IF($A288="","",InputPlayers!E289)</x:f>
      </x:c>
      <x:c r="F288" s="44">
        <x:f>IF($A288="","",COUNTIFS(InputPlayers!$A$6:$A$305,$A288,InputPlayers!$B$6:$B$305,$B288,InputPlayers!$C$6:$C$305,$C288,InputPlayers!$D$6:$D$305,$D288,InputPlayers!$O$6:$O$305,"Да"))</x:f>
      </x:c>
      <x:c r="G288" s="44">
        <x:f>IF($A288="","",SUMIFS(InputPlayers!$N$6:$N$305,InputPlayers!$A$6:$A$305,$A288,InputPlayers!$B$6:$B$305,$B288,InputPlayers!$C$6:$C$305,$C288,InputPlayers!$D$6:$D$305,$D288,InputPlayers!$O$6:$O$305,"Да"))</x:f>
      </x:c>
      <x:c r="H288" s="44">
        <x:f>IF(InputPlayers!A289="","",TEXT(InputPlayers!A289,"dd.mm.yyyy")&amp;"|"&amp;InputPlayers!B289&amp;"|"&amp;InputPlayers!C289&amp;"|"&amp;InputPlayers!D289)</x:f>
      </x:c>
    </x:row>
    <x:row r="289">
      <x:c r="A289" s="42">
        <x:f>IF(H289="","",IF(COUNTIF($H$5:H289,H289)&gt;1,"",InputPlayers!A290))</x:f>
      </x:c>
      <x:c r="B289" s="43">
        <x:f>IF($A289="","",InputPlayers!B290)</x:f>
      </x:c>
      <x:c r="C289" s="43">
        <x:f>IF($A289="","",InputPlayers!C290)</x:f>
      </x:c>
      <x:c r="D289" s="44">
        <x:f>IF($A289="","",InputPlayers!D290)</x:f>
      </x:c>
      <x:c r="E289" s="44">
        <x:f>IF($A289="","",InputPlayers!E290)</x:f>
      </x:c>
      <x:c r="F289" s="44">
        <x:f>IF($A289="","",COUNTIFS(InputPlayers!$A$6:$A$305,$A289,InputPlayers!$B$6:$B$305,$B289,InputPlayers!$C$6:$C$305,$C289,InputPlayers!$D$6:$D$305,$D289,InputPlayers!$O$6:$O$305,"Да"))</x:f>
      </x:c>
      <x:c r="G289" s="44">
        <x:f>IF($A289="","",SUMIFS(InputPlayers!$N$6:$N$305,InputPlayers!$A$6:$A$305,$A289,InputPlayers!$B$6:$B$305,$B289,InputPlayers!$C$6:$C$305,$C289,InputPlayers!$D$6:$D$305,$D289,InputPlayers!$O$6:$O$305,"Да"))</x:f>
      </x:c>
      <x:c r="H289" s="44">
        <x:f>IF(InputPlayers!A290="","",TEXT(InputPlayers!A290,"dd.mm.yyyy")&amp;"|"&amp;InputPlayers!B290&amp;"|"&amp;InputPlayers!C290&amp;"|"&amp;InputPlayers!D290)</x:f>
      </x:c>
    </x:row>
    <x:row r="290">
      <x:c r="A290" s="42">
        <x:f>IF(H290="","",IF(COUNTIF($H$5:H290,H290)&gt;1,"",InputPlayers!A291))</x:f>
      </x:c>
      <x:c r="B290" s="43">
        <x:f>IF($A290="","",InputPlayers!B291)</x:f>
      </x:c>
      <x:c r="C290" s="43">
        <x:f>IF($A290="","",InputPlayers!C291)</x:f>
      </x:c>
      <x:c r="D290" s="44">
        <x:f>IF($A290="","",InputPlayers!D291)</x:f>
      </x:c>
      <x:c r="E290" s="44">
        <x:f>IF($A290="","",InputPlayers!E291)</x:f>
      </x:c>
      <x:c r="F290" s="44">
        <x:f>IF($A290="","",COUNTIFS(InputPlayers!$A$6:$A$305,$A290,InputPlayers!$B$6:$B$305,$B290,InputPlayers!$C$6:$C$305,$C290,InputPlayers!$D$6:$D$305,$D290,InputPlayers!$O$6:$O$305,"Да"))</x:f>
      </x:c>
      <x:c r="G290" s="44">
        <x:f>IF($A290="","",SUMIFS(InputPlayers!$N$6:$N$305,InputPlayers!$A$6:$A$305,$A290,InputPlayers!$B$6:$B$305,$B290,InputPlayers!$C$6:$C$305,$C290,InputPlayers!$D$6:$D$305,$D290,InputPlayers!$O$6:$O$305,"Да"))</x:f>
      </x:c>
      <x:c r="H290" s="44">
        <x:f>IF(InputPlayers!A291="","",TEXT(InputPlayers!A291,"dd.mm.yyyy")&amp;"|"&amp;InputPlayers!B291&amp;"|"&amp;InputPlayers!C291&amp;"|"&amp;InputPlayers!D291)</x:f>
      </x:c>
    </x:row>
    <x:row r="291">
      <x:c r="A291" s="42">
        <x:f>IF(H291="","",IF(COUNTIF($H$5:H291,H291)&gt;1,"",InputPlayers!A292))</x:f>
      </x:c>
      <x:c r="B291" s="43">
        <x:f>IF($A291="","",InputPlayers!B292)</x:f>
      </x:c>
      <x:c r="C291" s="43">
        <x:f>IF($A291="","",InputPlayers!C292)</x:f>
      </x:c>
      <x:c r="D291" s="44">
        <x:f>IF($A291="","",InputPlayers!D292)</x:f>
      </x:c>
      <x:c r="E291" s="44">
        <x:f>IF($A291="","",InputPlayers!E292)</x:f>
      </x:c>
      <x:c r="F291" s="44">
        <x:f>IF($A291="","",COUNTIFS(InputPlayers!$A$6:$A$305,$A291,InputPlayers!$B$6:$B$305,$B291,InputPlayers!$C$6:$C$305,$C291,InputPlayers!$D$6:$D$305,$D291,InputPlayers!$O$6:$O$305,"Да"))</x:f>
      </x:c>
      <x:c r="G291" s="44">
        <x:f>IF($A291="","",SUMIFS(InputPlayers!$N$6:$N$305,InputPlayers!$A$6:$A$305,$A291,InputPlayers!$B$6:$B$305,$B291,InputPlayers!$C$6:$C$305,$C291,InputPlayers!$D$6:$D$305,$D291,InputPlayers!$O$6:$O$305,"Да"))</x:f>
      </x:c>
      <x:c r="H291" s="44">
        <x:f>IF(InputPlayers!A292="","",TEXT(InputPlayers!A292,"dd.mm.yyyy")&amp;"|"&amp;InputPlayers!B292&amp;"|"&amp;InputPlayers!C292&amp;"|"&amp;InputPlayers!D292)</x:f>
      </x:c>
    </x:row>
    <x:row r="292">
      <x:c r="A292" s="42">
        <x:f>IF(H292="","",IF(COUNTIF($H$5:H292,H292)&gt;1,"",InputPlayers!A293))</x:f>
      </x:c>
      <x:c r="B292" s="43">
        <x:f>IF($A292="","",InputPlayers!B293)</x:f>
      </x:c>
      <x:c r="C292" s="43">
        <x:f>IF($A292="","",InputPlayers!C293)</x:f>
      </x:c>
      <x:c r="D292" s="44">
        <x:f>IF($A292="","",InputPlayers!D293)</x:f>
      </x:c>
      <x:c r="E292" s="44">
        <x:f>IF($A292="","",InputPlayers!E293)</x:f>
      </x:c>
      <x:c r="F292" s="44">
        <x:f>IF($A292="","",COUNTIFS(InputPlayers!$A$6:$A$305,$A292,InputPlayers!$B$6:$B$305,$B292,InputPlayers!$C$6:$C$305,$C292,InputPlayers!$D$6:$D$305,$D292,InputPlayers!$O$6:$O$305,"Да"))</x:f>
      </x:c>
      <x:c r="G292" s="44">
        <x:f>IF($A292="","",SUMIFS(InputPlayers!$N$6:$N$305,InputPlayers!$A$6:$A$305,$A292,InputPlayers!$B$6:$B$305,$B292,InputPlayers!$C$6:$C$305,$C292,InputPlayers!$D$6:$D$305,$D292,InputPlayers!$O$6:$O$305,"Да"))</x:f>
      </x:c>
      <x:c r="H292" s="44">
        <x:f>IF(InputPlayers!A293="","",TEXT(InputPlayers!A293,"dd.mm.yyyy")&amp;"|"&amp;InputPlayers!B293&amp;"|"&amp;InputPlayers!C293&amp;"|"&amp;InputPlayers!D293)</x:f>
      </x:c>
    </x:row>
    <x:row r="293">
      <x:c r="A293" s="42">
        <x:f>IF(H293="","",IF(COUNTIF($H$5:H293,H293)&gt;1,"",InputPlayers!A294))</x:f>
      </x:c>
      <x:c r="B293" s="43">
        <x:f>IF($A293="","",InputPlayers!B294)</x:f>
      </x:c>
      <x:c r="C293" s="43">
        <x:f>IF($A293="","",InputPlayers!C294)</x:f>
      </x:c>
      <x:c r="D293" s="44">
        <x:f>IF($A293="","",InputPlayers!D294)</x:f>
      </x:c>
      <x:c r="E293" s="44">
        <x:f>IF($A293="","",InputPlayers!E294)</x:f>
      </x:c>
      <x:c r="F293" s="44">
        <x:f>IF($A293="","",COUNTIFS(InputPlayers!$A$6:$A$305,$A293,InputPlayers!$B$6:$B$305,$B293,InputPlayers!$C$6:$C$305,$C293,InputPlayers!$D$6:$D$305,$D293,InputPlayers!$O$6:$O$305,"Да"))</x:f>
      </x:c>
      <x:c r="G293" s="44">
        <x:f>IF($A293="","",SUMIFS(InputPlayers!$N$6:$N$305,InputPlayers!$A$6:$A$305,$A293,InputPlayers!$B$6:$B$305,$B293,InputPlayers!$C$6:$C$305,$C293,InputPlayers!$D$6:$D$305,$D293,InputPlayers!$O$6:$O$305,"Да"))</x:f>
      </x:c>
      <x:c r="H293" s="44">
        <x:f>IF(InputPlayers!A294="","",TEXT(InputPlayers!A294,"dd.mm.yyyy")&amp;"|"&amp;InputPlayers!B294&amp;"|"&amp;InputPlayers!C294&amp;"|"&amp;InputPlayers!D294)</x:f>
      </x:c>
    </x:row>
    <x:row r="294">
      <x:c r="A294" s="42">
        <x:f>IF(H294="","",IF(COUNTIF($H$5:H294,H294)&gt;1,"",InputPlayers!A295))</x:f>
      </x:c>
      <x:c r="B294" s="43">
        <x:f>IF($A294="","",InputPlayers!B295)</x:f>
      </x:c>
      <x:c r="C294" s="43">
        <x:f>IF($A294="","",InputPlayers!C295)</x:f>
      </x:c>
      <x:c r="D294" s="44">
        <x:f>IF($A294="","",InputPlayers!D295)</x:f>
      </x:c>
      <x:c r="E294" s="44">
        <x:f>IF($A294="","",InputPlayers!E295)</x:f>
      </x:c>
      <x:c r="F294" s="44">
        <x:f>IF($A294="","",COUNTIFS(InputPlayers!$A$6:$A$305,$A294,InputPlayers!$B$6:$B$305,$B294,InputPlayers!$C$6:$C$305,$C294,InputPlayers!$D$6:$D$305,$D294,InputPlayers!$O$6:$O$305,"Да"))</x:f>
      </x:c>
      <x:c r="G294" s="44">
        <x:f>IF($A294="","",SUMIFS(InputPlayers!$N$6:$N$305,InputPlayers!$A$6:$A$305,$A294,InputPlayers!$B$6:$B$305,$B294,InputPlayers!$C$6:$C$305,$C294,InputPlayers!$D$6:$D$305,$D294,InputPlayers!$O$6:$O$305,"Да"))</x:f>
      </x:c>
      <x:c r="H294" s="44">
        <x:f>IF(InputPlayers!A295="","",TEXT(InputPlayers!A295,"dd.mm.yyyy")&amp;"|"&amp;InputPlayers!B295&amp;"|"&amp;InputPlayers!C295&amp;"|"&amp;InputPlayers!D295)</x:f>
      </x:c>
    </x:row>
    <x:row r="295">
      <x:c r="A295" s="42">
        <x:f>IF(H295="","",IF(COUNTIF($H$5:H295,H295)&gt;1,"",InputPlayers!A296))</x:f>
      </x:c>
      <x:c r="B295" s="43">
        <x:f>IF($A295="","",InputPlayers!B296)</x:f>
      </x:c>
      <x:c r="C295" s="43">
        <x:f>IF($A295="","",InputPlayers!C296)</x:f>
      </x:c>
      <x:c r="D295" s="44">
        <x:f>IF($A295="","",InputPlayers!D296)</x:f>
      </x:c>
      <x:c r="E295" s="44">
        <x:f>IF($A295="","",InputPlayers!E296)</x:f>
      </x:c>
      <x:c r="F295" s="44">
        <x:f>IF($A295="","",COUNTIFS(InputPlayers!$A$6:$A$305,$A295,InputPlayers!$B$6:$B$305,$B295,InputPlayers!$C$6:$C$305,$C295,InputPlayers!$D$6:$D$305,$D295,InputPlayers!$O$6:$O$305,"Да"))</x:f>
      </x:c>
      <x:c r="G295" s="44">
        <x:f>IF($A295="","",SUMIFS(InputPlayers!$N$6:$N$305,InputPlayers!$A$6:$A$305,$A295,InputPlayers!$B$6:$B$305,$B295,InputPlayers!$C$6:$C$305,$C295,InputPlayers!$D$6:$D$305,$D295,InputPlayers!$O$6:$O$305,"Да"))</x:f>
      </x:c>
      <x:c r="H295" s="44">
        <x:f>IF(InputPlayers!A296="","",TEXT(InputPlayers!A296,"dd.mm.yyyy")&amp;"|"&amp;InputPlayers!B296&amp;"|"&amp;InputPlayers!C296&amp;"|"&amp;InputPlayers!D296)</x:f>
      </x:c>
    </x:row>
    <x:row r="296">
      <x:c r="A296" s="42">
        <x:f>IF(H296="","",IF(COUNTIF($H$5:H296,H296)&gt;1,"",InputPlayers!A297))</x:f>
      </x:c>
      <x:c r="B296" s="43">
        <x:f>IF($A296="","",InputPlayers!B297)</x:f>
      </x:c>
      <x:c r="C296" s="43">
        <x:f>IF($A296="","",InputPlayers!C297)</x:f>
      </x:c>
      <x:c r="D296" s="44">
        <x:f>IF($A296="","",InputPlayers!D297)</x:f>
      </x:c>
      <x:c r="E296" s="44">
        <x:f>IF($A296="","",InputPlayers!E297)</x:f>
      </x:c>
      <x:c r="F296" s="44">
        <x:f>IF($A296="","",COUNTIFS(InputPlayers!$A$6:$A$305,$A296,InputPlayers!$B$6:$B$305,$B296,InputPlayers!$C$6:$C$305,$C296,InputPlayers!$D$6:$D$305,$D296,InputPlayers!$O$6:$O$305,"Да"))</x:f>
      </x:c>
      <x:c r="G296" s="44">
        <x:f>IF($A296="","",SUMIFS(InputPlayers!$N$6:$N$305,InputPlayers!$A$6:$A$305,$A296,InputPlayers!$B$6:$B$305,$B296,InputPlayers!$C$6:$C$305,$C296,InputPlayers!$D$6:$D$305,$D296,InputPlayers!$O$6:$O$305,"Да"))</x:f>
      </x:c>
      <x:c r="H296" s="44">
        <x:f>IF(InputPlayers!A297="","",TEXT(InputPlayers!A297,"dd.mm.yyyy")&amp;"|"&amp;InputPlayers!B297&amp;"|"&amp;InputPlayers!C297&amp;"|"&amp;InputPlayers!D297)</x:f>
      </x:c>
    </x:row>
    <x:row r="297">
      <x:c r="A297" s="42">
        <x:f>IF(H297="","",IF(COUNTIF($H$5:H297,H297)&gt;1,"",InputPlayers!A298))</x:f>
      </x:c>
      <x:c r="B297" s="43">
        <x:f>IF($A297="","",InputPlayers!B298)</x:f>
      </x:c>
      <x:c r="C297" s="43">
        <x:f>IF($A297="","",InputPlayers!C298)</x:f>
      </x:c>
      <x:c r="D297" s="44">
        <x:f>IF($A297="","",InputPlayers!D298)</x:f>
      </x:c>
      <x:c r="E297" s="44">
        <x:f>IF($A297="","",InputPlayers!E298)</x:f>
      </x:c>
      <x:c r="F297" s="44">
        <x:f>IF($A297="","",COUNTIFS(InputPlayers!$A$6:$A$305,$A297,InputPlayers!$B$6:$B$305,$B297,InputPlayers!$C$6:$C$305,$C297,InputPlayers!$D$6:$D$305,$D297,InputPlayers!$O$6:$O$305,"Да"))</x:f>
      </x:c>
      <x:c r="G297" s="44">
        <x:f>IF($A297="","",SUMIFS(InputPlayers!$N$6:$N$305,InputPlayers!$A$6:$A$305,$A297,InputPlayers!$B$6:$B$305,$B297,InputPlayers!$C$6:$C$305,$C297,InputPlayers!$D$6:$D$305,$D297,InputPlayers!$O$6:$O$305,"Да"))</x:f>
      </x:c>
      <x:c r="H297" s="44">
        <x:f>IF(InputPlayers!A298="","",TEXT(InputPlayers!A298,"dd.mm.yyyy")&amp;"|"&amp;InputPlayers!B298&amp;"|"&amp;InputPlayers!C298&amp;"|"&amp;InputPlayers!D298)</x:f>
      </x:c>
    </x:row>
    <x:row r="298">
      <x:c r="A298" s="42">
        <x:f>IF(H298="","",IF(COUNTIF($H$5:H298,H298)&gt;1,"",InputPlayers!A299))</x:f>
      </x:c>
      <x:c r="B298" s="43">
        <x:f>IF($A298="","",InputPlayers!B299)</x:f>
      </x:c>
      <x:c r="C298" s="43">
        <x:f>IF($A298="","",InputPlayers!C299)</x:f>
      </x:c>
      <x:c r="D298" s="44">
        <x:f>IF($A298="","",InputPlayers!D299)</x:f>
      </x:c>
      <x:c r="E298" s="44">
        <x:f>IF($A298="","",InputPlayers!E299)</x:f>
      </x:c>
      <x:c r="F298" s="44">
        <x:f>IF($A298="","",COUNTIFS(InputPlayers!$A$6:$A$305,$A298,InputPlayers!$B$6:$B$305,$B298,InputPlayers!$C$6:$C$305,$C298,InputPlayers!$D$6:$D$305,$D298,InputPlayers!$O$6:$O$305,"Да"))</x:f>
      </x:c>
      <x:c r="G298" s="44">
        <x:f>IF($A298="","",SUMIFS(InputPlayers!$N$6:$N$305,InputPlayers!$A$6:$A$305,$A298,InputPlayers!$B$6:$B$305,$B298,InputPlayers!$C$6:$C$305,$C298,InputPlayers!$D$6:$D$305,$D298,InputPlayers!$O$6:$O$305,"Да"))</x:f>
      </x:c>
      <x:c r="H298" s="44">
        <x:f>IF(InputPlayers!A299="","",TEXT(InputPlayers!A299,"dd.mm.yyyy")&amp;"|"&amp;InputPlayers!B299&amp;"|"&amp;InputPlayers!C299&amp;"|"&amp;InputPlayers!D299)</x:f>
      </x:c>
    </x:row>
    <x:row r="299">
      <x:c r="A299" s="42">
        <x:f>IF(H299="","",IF(COUNTIF($H$5:H299,H299)&gt;1,"",InputPlayers!A300))</x:f>
      </x:c>
      <x:c r="B299" s="43">
        <x:f>IF($A299="","",InputPlayers!B300)</x:f>
      </x:c>
      <x:c r="C299" s="43">
        <x:f>IF($A299="","",InputPlayers!C300)</x:f>
      </x:c>
      <x:c r="D299" s="44">
        <x:f>IF($A299="","",InputPlayers!D300)</x:f>
      </x:c>
      <x:c r="E299" s="44">
        <x:f>IF($A299="","",InputPlayers!E300)</x:f>
      </x:c>
      <x:c r="F299" s="44">
        <x:f>IF($A299="","",COUNTIFS(InputPlayers!$A$6:$A$305,$A299,InputPlayers!$B$6:$B$305,$B299,InputPlayers!$C$6:$C$305,$C299,InputPlayers!$D$6:$D$305,$D299,InputPlayers!$O$6:$O$305,"Да"))</x:f>
      </x:c>
      <x:c r="G299" s="44">
        <x:f>IF($A299="","",SUMIFS(InputPlayers!$N$6:$N$305,InputPlayers!$A$6:$A$305,$A299,InputPlayers!$B$6:$B$305,$B299,InputPlayers!$C$6:$C$305,$C299,InputPlayers!$D$6:$D$305,$D299,InputPlayers!$O$6:$O$305,"Да"))</x:f>
      </x:c>
      <x:c r="H299" s="44">
        <x:f>IF(InputPlayers!A300="","",TEXT(InputPlayers!A300,"dd.mm.yyyy")&amp;"|"&amp;InputPlayers!B300&amp;"|"&amp;InputPlayers!C300&amp;"|"&amp;InputPlayers!D300)</x:f>
      </x:c>
    </x:row>
    <x:row r="300">
      <x:c r="A300" s="42">
        <x:f>IF(H300="","",IF(COUNTIF($H$5:H300,H300)&gt;1,"",InputPlayers!A301))</x:f>
      </x:c>
      <x:c r="B300" s="43">
        <x:f>IF($A300="","",InputPlayers!B301)</x:f>
      </x:c>
      <x:c r="C300" s="43">
        <x:f>IF($A300="","",InputPlayers!C301)</x:f>
      </x:c>
      <x:c r="D300" s="44">
        <x:f>IF($A300="","",InputPlayers!D301)</x:f>
      </x:c>
      <x:c r="E300" s="44">
        <x:f>IF($A300="","",InputPlayers!E301)</x:f>
      </x:c>
      <x:c r="F300" s="44">
        <x:f>IF($A300="","",COUNTIFS(InputPlayers!$A$6:$A$305,$A300,InputPlayers!$B$6:$B$305,$B300,InputPlayers!$C$6:$C$305,$C300,InputPlayers!$D$6:$D$305,$D300,InputPlayers!$O$6:$O$305,"Да"))</x:f>
      </x:c>
      <x:c r="G300" s="44">
        <x:f>IF($A300="","",SUMIFS(InputPlayers!$N$6:$N$305,InputPlayers!$A$6:$A$305,$A300,InputPlayers!$B$6:$B$305,$B300,InputPlayers!$C$6:$C$305,$C300,InputPlayers!$D$6:$D$305,$D300,InputPlayers!$O$6:$O$305,"Да"))</x:f>
      </x:c>
      <x:c r="H300" s="44">
        <x:f>IF(InputPlayers!A301="","",TEXT(InputPlayers!A301,"dd.mm.yyyy")&amp;"|"&amp;InputPlayers!B301&amp;"|"&amp;InputPlayers!C301&amp;"|"&amp;InputPlayers!D301)</x:f>
      </x:c>
    </x:row>
    <x:row r="301">
      <x:c r="A301" s="42">
        <x:f>IF(H301="","",IF(COUNTIF($H$5:H301,H301)&gt;1,"",InputPlayers!A302))</x:f>
      </x:c>
      <x:c r="B301" s="43">
        <x:f>IF($A301="","",InputPlayers!B302)</x:f>
      </x:c>
      <x:c r="C301" s="43">
        <x:f>IF($A301="","",InputPlayers!C302)</x:f>
      </x:c>
      <x:c r="D301" s="44">
        <x:f>IF($A301="","",InputPlayers!D302)</x:f>
      </x:c>
      <x:c r="E301" s="44">
        <x:f>IF($A301="","",InputPlayers!E302)</x:f>
      </x:c>
      <x:c r="F301" s="44">
        <x:f>IF($A301="","",COUNTIFS(InputPlayers!$A$6:$A$305,$A301,InputPlayers!$B$6:$B$305,$B301,InputPlayers!$C$6:$C$305,$C301,InputPlayers!$D$6:$D$305,$D301,InputPlayers!$O$6:$O$305,"Да"))</x:f>
      </x:c>
      <x:c r="G301" s="44">
        <x:f>IF($A301="","",SUMIFS(InputPlayers!$N$6:$N$305,InputPlayers!$A$6:$A$305,$A301,InputPlayers!$B$6:$B$305,$B301,InputPlayers!$C$6:$C$305,$C301,InputPlayers!$D$6:$D$305,$D301,InputPlayers!$O$6:$O$305,"Да"))</x:f>
      </x:c>
      <x:c r="H301" s="44">
        <x:f>IF(InputPlayers!A302="","",TEXT(InputPlayers!A302,"dd.mm.yyyy")&amp;"|"&amp;InputPlayers!B302&amp;"|"&amp;InputPlayers!C302&amp;"|"&amp;InputPlayers!D302)</x:f>
      </x:c>
    </x:row>
    <x:row r="302">
      <x:c r="A302" s="42">
        <x:f>IF(H302="","",IF(COUNTIF($H$5:H302,H302)&gt;1,"",InputPlayers!A303))</x:f>
      </x:c>
      <x:c r="B302" s="43">
        <x:f>IF($A302="","",InputPlayers!B303)</x:f>
      </x:c>
      <x:c r="C302" s="43">
        <x:f>IF($A302="","",InputPlayers!C303)</x:f>
      </x:c>
      <x:c r="D302" s="44">
        <x:f>IF($A302="","",InputPlayers!D303)</x:f>
      </x:c>
      <x:c r="E302" s="44">
        <x:f>IF($A302="","",InputPlayers!E303)</x:f>
      </x:c>
      <x:c r="F302" s="44">
        <x:f>IF($A302="","",COUNTIFS(InputPlayers!$A$6:$A$305,$A302,InputPlayers!$B$6:$B$305,$B302,InputPlayers!$C$6:$C$305,$C302,InputPlayers!$D$6:$D$305,$D302,InputPlayers!$O$6:$O$305,"Да"))</x:f>
      </x:c>
      <x:c r="G302" s="44">
        <x:f>IF($A302="","",SUMIFS(InputPlayers!$N$6:$N$305,InputPlayers!$A$6:$A$305,$A302,InputPlayers!$B$6:$B$305,$B302,InputPlayers!$C$6:$C$305,$C302,InputPlayers!$D$6:$D$305,$D302,InputPlayers!$O$6:$O$305,"Да"))</x:f>
      </x:c>
      <x:c r="H302" s="44">
        <x:f>IF(InputPlayers!A303="","",TEXT(InputPlayers!A303,"dd.mm.yyyy")&amp;"|"&amp;InputPlayers!B303&amp;"|"&amp;InputPlayers!C303&amp;"|"&amp;InputPlayers!D303)</x:f>
      </x:c>
    </x:row>
    <x:row r="303">
      <x:c r="A303" s="42">
        <x:f>IF(H303="","",IF(COUNTIF($H$5:H303,H303)&gt;1,"",InputPlayers!A304))</x:f>
      </x:c>
      <x:c r="B303" s="43">
        <x:f>IF($A303="","",InputPlayers!B304)</x:f>
      </x:c>
      <x:c r="C303" s="43">
        <x:f>IF($A303="","",InputPlayers!C304)</x:f>
      </x:c>
      <x:c r="D303" s="44">
        <x:f>IF($A303="","",InputPlayers!D304)</x:f>
      </x:c>
      <x:c r="E303" s="44">
        <x:f>IF($A303="","",InputPlayers!E304)</x:f>
      </x:c>
      <x:c r="F303" s="44">
        <x:f>IF($A303="","",COUNTIFS(InputPlayers!$A$6:$A$305,$A303,InputPlayers!$B$6:$B$305,$B303,InputPlayers!$C$6:$C$305,$C303,InputPlayers!$D$6:$D$305,$D303,InputPlayers!$O$6:$O$305,"Да"))</x:f>
      </x:c>
      <x:c r="G303" s="44">
        <x:f>IF($A303="","",SUMIFS(InputPlayers!$N$6:$N$305,InputPlayers!$A$6:$A$305,$A303,InputPlayers!$B$6:$B$305,$B303,InputPlayers!$C$6:$C$305,$C303,InputPlayers!$D$6:$D$305,$D303,InputPlayers!$O$6:$O$305,"Да"))</x:f>
      </x:c>
      <x:c r="H303" s="44">
        <x:f>IF(InputPlayers!A304="","",TEXT(InputPlayers!A304,"dd.mm.yyyy")&amp;"|"&amp;InputPlayers!B304&amp;"|"&amp;InputPlayers!C304&amp;"|"&amp;InputPlayers!D304)</x:f>
      </x:c>
    </x:row>
    <x:row r="304">
      <x:c r="A304" s="42">
        <x:f>IF(H304="","",IF(COUNTIF($H$5:H304,H304)&gt;1,"",InputPlayers!A305))</x:f>
      </x:c>
      <x:c r="B304" s="43">
        <x:f>IF($A304="","",InputPlayers!B305)</x:f>
      </x:c>
      <x:c r="C304" s="43">
        <x:f>IF($A304="","",InputPlayers!C305)</x:f>
      </x:c>
      <x:c r="D304" s="44">
        <x:f>IF($A304="","",InputPlayers!D305)</x:f>
      </x:c>
      <x:c r="E304" s="44">
        <x:f>IF($A304="","",InputPlayers!E305)</x:f>
      </x:c>
      <x:c r="F304" s="44">
        <x:f>IF($A304="","",COUNTIFS(InputPlayers!$A$6:$A$305,$A304,InputPlayers!$B$6:$B$305,$B304,InputPlayers!$C$6:$C$305,$C304,InputPlayers!$D$6:$D$305,$D304,InputPlayers!$O$6:$O$305,"Да"))</x:f>
      </x:c>
      <x:c r="G304" s="44">
        <x:f>IF($A304="","",SUMIFS(InputPlayers!$N$6:$N$305,InputPlayers!$A$6:$A$305,$A304,InputPlayers!$B$6:$B$305,$B304,InputPlayers!$C$6:$C$305,$C304,InputPlayers!$D$6:$D$305,$D304,InputPlayers!$O$6:$O$305,"Да"))</x:f>
      </x:c>
      <x:c r="H304" s="44">
        <x:f>IF(InputPlayers!A305="","",TEXT(InputPlayers!A305,"dd.mm.yyyy")&amp;"|"&amp;InputPlayers!B305&amp;"|"&amp;InputPlayers!C305&amp;"|"&amp;InputPlayers!D305)</x:f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4" customWidth="1"/>
    <x:col min="3" max="3" width="14" customWidth="1"/>
    <x:col min="4" max="4" width="16" customWidth="1"/>
    <x:col min="5" max="5" width="18" customWidth="1"/>
    <x:col min="6" max="6" width="16" customWidth="1"/>
    <x:col min="7" max="7" width="14" customWidth="1"/>
    <x:col min="8" max="8" width="16" customWidth="1"/>
  </x:cols>
  <x:sheetData>
    <x:row r="1" ht="24" customHeight="1">
      <x:c r="A1" s="54" t="inlineStr">
        <x:is>
          <x:t xml:space="preserve">Автоматический пересчет по этапам</x:t>
        </x:is>
      </x:c>
      <x:c r="G1" s="55" t="n"/>
      <x:c r="H1" s="55" t="n"/>
    </x:row>
    <x:row r="2">
      <x:c r="A2" s="63" t="inlineStr">
        <x:is>
          <x:t xml:space="preserve">Стартовые очки + сумма всех новых туров из листа InputTours.</x:t>
        </x:is>
      </x:c>
      <x:c r="G2" s="55" t="n"/>
      <x:c r="H2" s="55" t="n"/>
    </x:row>
    <x:row r="3">
      <x:c r="A3" s="55" t="n"/>
      <x:c r="B3" s="55" t="n"/>
      <x:c r="C3" s="55" t="n"/>
      <x:c r="D3" s="55" t="n"/>
      <x:c r="E3" s="55" t="n"/>
      <x:c r="F3" s="55" t="n"/>
      <x:c r="G3" s="55" t="n"/>
      <x:c r="H3" s="55" t="n"/>
    </x:row>
    <x:row r="4">
      <x:c r="A4" s="64" t="inlineStr">
        <x:is>
          <x:t xml:space="preserve">Участник</x:t>
        </x:is>
      </x:c>
      <x:c r="B4" s="64" t="inlineStr">
        <x:is>
          <x:t xml:space="preserve">Этап</x:t>
        </x:is>
      </x:c>
      <x:c r="C4" s="64" t="inlineStr">
        <x:is>
          <x:t xml:space="preserve">Стартовые очки</x:t>
        </x:is>
      </x:c>
      <x:c r="D4" s="61" t="inlineStr">
        <x:is>
          <x:t xml:space="preserve">Добавлено из InputTours</x:t>
        </x:is>
      </x:c>
      <x:c r="E4" s="61" t="inlineStr">
        <x:is>
          <x:t xml:space="preserve">Добавлено из InputPlayers</x:t>
        </x:is>
      </x:c>
      <x:c r="F4" s="64" t="inlineStr">
        <x:is>
          <x:t xml:space="preserve">Итого этапа сейчас</x:t>
        </x:is>
      </x:c>
      <x:c r="G4" s="64" t="inlineStr">
        <x:is>
          <x:t xml:space="preserve">Туров из InputTours</x:t>
        </x:is>
      </x:c>
      <x:c r="H4" s="64" t="inlineStr">
        <x:is>
          <x:t xml:space="preserve">Туров из InputPlayers</x:t>
        </x:is>
      </x:c>
    </x:row>
    <x:row r="5">
      <x:c r="A5" s="36" t="inlineStr">
        <x:is>
          <x:t xml:space="preserve">Женя Космос</x:t>
        </x:is>
      </x:c>
      <x:c r="B5" s="48" t="inlineStr">
        <x:is>
          <x:t xml:space="preserve">Регулярка</x:t>
        </x:is>
      </x:c>
      <x:c r="C5" s="49">
        <x:f>BaseTotals!C5</x:f>
        <x:v>73</x:v>
      </x:c>
      <x:c r="D5">
        <x:f>SUMIFS(InputTours!$L$6:$L$205,InputTours!$D$6:$D$205,A5,InputTours!$B$6:$B$205,B5)</x:f>
        <x:v>0</x:v>
      </x:c>
      <x:c r="E5">
        <x:f>SUMIFS(RoundSummary!$G$5:$G$304,RoundSummary!$D$5:$D$304,A5,RoundSummary!$B$5:$B$304,B5)</x:f>
        <x:v>0</x:v>
      </x:c>
      <x:c r="F5" s="50">
        <x:f>C5+D5+E5</x:f>
        <x:v>73</x:v>
      </x:c>
      <x:c r="G5" s="33">
        <x:f>COUNTIFS(InputTours!$D$6:$D$205,A5,InputTours!$B$6:$B$205,B5,InputTours!$L$6:$L$205,"&lt;&gt;")</x:f>
        <x:v>0</x:v>
      </x:c>
      <x:c r="H5" s="51">
        <x:f>COUNTIFS(RoundSummary!$D$5:$D$304,A5,RoundSummary!$B$5:$B$304,B5,RoundSummary!$G$5:$G$304,"&lt;&gt;")</x:f>
        <x:v>0</x:v>
      </x:c>
    </x:row>
    <x:row r="6">
      <x:c r="A6" s="36" t="inlineStr">
        <x:is>
          <x:t xml:space="preserve">Александр</x:t>
        </x:is>
      </x:c>
      <x:c r="B6" s="48" t="inlineStr">
        <x:is>
          <x:t xml:space="preserve">Регулярка</x:t>
        </x:is>
      </x:c>
      <x:c r="C6" s="49">
        <x:f>BaseTotals!C6</x:f>
        <x:v>57</x:v>
      </x:c>
      <x:c r="D6">
        <x:f>SUMIFS(InputTours!$L$6:$L$205,InputTours!$D$6:$D$205,A6,InputTours!$B$6:$B$205,B6)</x:f>
        <x:v>0</x:v>
      </x:c>
      <x:c r="E6">
        <x:f>SUMIFS(RoundSummary!$G$5:$G$304,RoundSummary!$D$5:$D$304,A6,RoundSummary!$B$5:$B$304,B6)</x:f>
        <x:v>0</x:v>
      </x:c>
      <x:c r="F6" s="50">
        <x:f>C6+D6+E6</x:f>
        <x:v>57</x:v>
      </x:c>
      <x:c r="G6" s="33">
        <x:f>COUNTIFS(InputTours!$D$6:$D$205,A6,InputTours!$B$6:$B$205,B6,InputTours!$L$6:$L$205,"&lt;&gt;")</x:f>
        <x:v>0</x:v>
      </x:c>
      <x:c r="H6" s="51">
        <x:f>COUNTIFS(RoundSummary!$D$5:$D$304,A6,RoundSummary!$B$5:$B$304,B6,RoundSummary!$G$5:$G$304,"&lt;&gt;")</x:f>
        <x:v>0</x:v>
      </x:c>
    </x:row>
    <x:row r="7">
      <x:c r="A7" s="36" t="inlineStr">
        <x:is>
          <x:t xml:space="preserve">КатяБет</x:t>
        </x:is>
      </x:c>
      <x:c r="B7" s="48" t="inlineStr">
        <x:is>
          <x:t xml:space="preserve">Регулярка</x:t>
        </x:is>
      </x:c>
      <x:c r="C7" s="49">
        <x:f>BaseTotals!C7</x:f>
        <x:v>77</x:v>
      </x:c>
      <x:c r="D7">
        <x:f>SUMIFS(InputTours!$L$6:$L$205,InputTours!$D$6:$D$205,A7,InputTours!$B$6:$B$205,B7)</x:f>
        <x:v>0</x:v>
      </x:c>
      <x:c r="E7">
        <x:f>SUMIFS(RoundSummary!$G$5:$G$304,RoundSummary!$D$5:$D$304,A7,RoundSummary!$B$5:$B$304,B7)</x:f>
        <x:v>0</x:v>
      </x:c>
      <x:c r="F7" s="50">
        <x:f>C7+D7+E7</x:f>
        <x:v>77</x:v>
      </x:c>
      <x:c r="G7" s="33">
        <x:f>COUNTIFS(InputTours!$D$6:$D$205,A7,InputTours!$B$6:$B$205,B7,InputTours!$L$6:$L$205,"&lt;&gt;")</x:f>
        <x:v>0</x:v>
      </x:c>
      <x:c r="H7" s="51">
        <x:f>COUNTIFS(RoundSummary!$D$5:$D$304,A7,RoundSummary!$B$5:$B$304,B7,RoundSummary!$G$5:$G$304,"&lt;&gt;")</x:f>
        <x:v>0</x:v>
      </x:c>
    </x:row>
    <x:row r="8">
      <x:c r="A8" s="36" t="inlineStr">
        <x:is>
          <x:t xml:space="preserve">Яна</x:t>
        </x:is>
      </x:c>
      <x:c r="B8" s="48" t="inlineStr">
        <x:is>
          <x:t xml:space="preserve">Регулярка</x:t>
        </x:is>
      </x:c>
      <x:c r="C8" s="49">
        <x:f>BaseTotals!C8</x:f>
        <x:v>66</x:v>
      </x:c>
      <x:c r="D8">
        <x:f>SUMIFS(InputTours!$L$6:$L$205,InputTours!$D$6:$D$205,A8,InputTours!$B$6:$B$205,B8)</x:f>
        <x:v>0</x:v>
      </x:c>
      <x:c r="E8">
        <x:f>SUMIFS(RoundSummary!$G$5:$G$304,RoundSummary!$D$5:$D$304,A8,RoundSummary!$B$5:$B$304,B8)</x:f>
        <x:v>0</x:v>
      </x:c>
      <x:c r="F8" s="50">
        <x:f>C8+D8+E8</x:f>
        <x:v>66</x:v>
      </x:c>
      <x:c r="G8" s="33">
        <x:f>COUNTIFS(InputTours!$D$6:$D$205,A8,InputTours!$B$6:$B$205,B8,InputTours!$L$6:$L$205,"&lt;&gt;")</x:f>
        <x:v>0</x:v>
      </x:c>
      <x:c r="H8" s="51">
        <x:f>COUNTIFS(RoundSummary!$D$5:$D$304,A8,RoundSummary!$B$5:$B$304,B8,RoundSummary!$G$5:$G$304,"&lt;&gt;")</x:f>
        <x:v>0</x:v>
      </x:c>
    </x:row>
    <x:row r="9">
      <x:c r="A9" s="36" t="inlineStr">
        <x:is>
          <x:t xml:space="preserve">Лерка</x:t>
        </x:is>
      </x:c>
      <x:c r="B9" s="48" t="inlineStr">
        <x:is>
          <x:t xml:space="preserve">Регулярка</x:t>
        </x:is>
      </x:c>
      <x:c r="C9" s="49">
        <x:f>BaseTotals!C9</x:f>
        <x:v>83</x:v>
      </x:c>
      <x:c r="D9">
        <x:f>SUMIFS(InputTours!$L$6:$L$205,InputTours!$D$6:$D$205,A9,InputTours!$B$6:$B$205,B9)</x:f>
        <x:v>0</x:v>
      </x:c>
      <x:c r="E9">
        <x:f>SUMIFS(RoundSummary!$G$5:$G$304,RoundSummary!$D$5:$D$304,A9,RoundSummary!$B$5:$B$304,B9)</x:f>
        <x:v>0</x:v>
      </x:c>
      <x:c r="F9" s="50">
        <x:f>C9+D9+E9</x:f>
        <x:v>83</x:v>
      </x:c>
      <x:c r="G9" s="33">
        <x:f>COUNTIFS(InputTours!$D$6:$D$205,A9,InputTours!$B$6:$B$205,B9,InputTours!$L$6:$L$205,"&lt;&gt;")</x:f>
        <x:v>0</x:v>
      </x:c>
      <x:c r="H9" s="51">
        <x:f>COUNTIFS(RoundSummary!$D$5:$D$304,A9,RoundSummary!$B$5:$B$304,B9,RoundSummary!$G$5:$G$304,"&lt;&gt;")</x:f>
        <x:v>0</x:v>
      </x:c>
    </x:row>
    <x:row r="10">
      <x:c r="A10" s="36" t="inlineStr">
        <x:is>
          <x:t xml:space="preserve">Валера Волович</x:t>
        </x:is>
      </x:c>
      <x:c r="B10" s="48" t="inlineStr">
        <x:is>
          <x:t xml:space="preserve">Регулярка</x:t>
        </x:is>
      </x:c>
      <x:c r="C10" s="49">
        <x:f>BaseTotals!C10</x:f>
        <x:v>60</x:v>
      </x:c>
      <x:c r="D10">
        <x:f>SUMIFS(InputTours!$L$6:$L$205,InputTours!$D$6:$D$205,A10,InputTours!$B$6:$B$205,B10)</x:f>
        <x:v>0</x:v>
      </x:c>
      <x:c r="E10">
        <x:f>SUMIFS(RoundSummary!$G$5:$G$304,RoundSummary!$D$5:$D$304,A10,RoundSummary!$B$5:$B$304,B10)</x:f>
        <x:v>0</x:v>
      </x:c>
      <x:c r="F10" s="50">
        <x:f>C10+D10+E10</x:f>
        <x:v>60</x:v>
      </x:c>
      <x:c r="G10" s="33">
        <x:f>COUNTIFS(InputTours!$D$6:$D$205,A10,InputTours!$B$6:$B$205,B10,InputTours!$L$6:$L$205,"&lt;&gt;")</x:f>
        <x:v>0</x:v>
      </x:c>
      <x:c r="H10" s="51">
        <x:f>COUNTIFS(RoundSummary!$D$5:$D$304,A10,RoundSummary!$B$5:$B$304,B10,RoundSummary!$G$5:$G$304,"&lt;&gt;")</x:f>
        <x:v>0</x:v>
      </x:c>
    </x:row>
    <x:row r="11">
      <x:c r="A11" s="36" t="inlineStr">
        <x:is>
          <x:t xml:space="preserve">Dasha</x:t>
        </x:is>
      </x:c>
      <x:c r="B11" s="48" t="inlineStr">
        <x:is>
          <x:t xml:space="preserve">Регулярка</x:t>
        </x:is>
      </x:c>
      <x:c r="C11" s="49">
        <x:f>BaseTotals!C11</x:f>
        <x:v>60</x:v>
      </x:c>
      <x:c r="D11">
        <x:f>SUMIFS(InputTours!$L$6:$L$205,InputTours!$D$6:$D$205,A11,InputTours!$B$6:$B$205,B11)</x:f>
        <x:v>0</x:v>
      </x:c>
      <x:c r="E11">
        <x:f>SUMIFS(RoundSummary!$G$5:$G$304,RoundSummary!$D$5:$D$304,A11,RoundSummary!$B$5:$B$304,B11)</x:f>
        <x:v>0</x:v>
      </x:c>
      <x:c r="F11" s="50">
        <x:f>C11+D11+E11</x:f>
        <x:v>60</x:v>
      </x:c>
      <x:c r="G11" s="33">
        <x:f>COUNTIFS(InputTours!$D$6:$D$205,A11,InputTours!$B$6:$B$205,B11,InputTours!$L$6:$L$205,"&lt;&gt;")</x:f>
        <x:v>0</x:v>
      </x:c>
      <x:c r="H11" s="51">
        <x:f>COUNTIFS(RoundSummary!$D$5:$D$304,A11,RoundSummary!$B$5:$B$304,B11,RoundSummary!$G$5:$G$304,"&lt;&gt;")</x:f>
        <x:v>0</x:v>
      </x:c>
    </x:row>
    <x:row r="12">
      <x:c r="A12" s="36" t="inlineStr">
        <x:is>
          <x:t xml:space="preserve">Влада</x:t>
        </x:is>
      </x:c>
      <x:c r="B12" s="48" t="inlineStr">
        <x:is>
          <x:t xml:space="preserve">Регулярка</x:t>
        </x:is>
      </x:c>
      <x:c r="C12" s="49">
        <x:f>BaseTotals!C12</x:f>
        <x:v>65</x:v>
      </x:c>
      <x:c r="D12">
        <x:f>SUMIFS(InputTours!$L$6:$L$205,InputTours!$D$6:$D$205,A12,InputTours!$B$6:$B$205,B12)</x:f>
        <x:v>0</x:v>
      </x:c>
      <x:c r="E12">
        <x:f>SUMIFS(RoundSummary!$G$5:$G$304,RoundSummary!$D$5:$D$304,A12,RoundSummary!$B$5:$B$304,B12)</x:f>
        <x:v>0</x:v>
      </x:c>
      <x:c r="F12" s="50">
        <x:f>C12+D12+E12</x:f>
        <x:v>65</x:v>
      </x:c>
      <x:c r="G12" s="33">
        <x:f>COUNTIFS(InputTours!$D$6:$D$205,A12,InputTours!$B$6:$B$205,B12,InputTours!$L$6:$L$205,"&lt;&gt;")</x:f>
        <x:v>0</x:v>
      </x:c>
      <x:c r="H12" s="51">
        <x:f>COUNTIFS(RoundSummary!$D$5:$D$304,A12,RoundSummary!$B$5:$B$304,B12,RoundSummary!$G$5:$G$304,"&lt;&gt;")</x:f>
        <x:v>0</x:v>
      </x:c>
    </x:row>
    <x:row r="13">
      <x:c r="A13" s="36" t="inlineStr">
        <x:is>
          <x:t xml:space="preserve">Андрей</x:t>
        </x:is>
      </x:c>
      <x:c r="B13" s="48" t="inlineStr">
        <x:is>
          <x:t xml:space="preserve">Регулярка</x:t>
        </x:is>
      </x:c>
      <x:c r="C13" s="49">
        <x:f>BaseTotals!C13</x:f>
        <x:v>62</x:v>
      </x:c>
      <x:c r="D13">
        <x:f>SUMIFS(InputTours!$L$6:$L$205,InputTours!$D$6:$D$205,A13,InputTours!$B$6:$B$205,B13)</x:f>
        <x:v>0</x:v>
      </x:c>
      <x:c r="E13">
        <x:f>SUMIFS(RoundSummary!$G$5:$G$304,RoundSummary!$D$5:$D$304,A13,RoundSummary!$B$5:$B$304,B13)</x:f>
        <x:v>0</x:v>
      </x:c>
      <x:c r="F13" s="50">
        <x:f>C13+D13+E13</x:f>
        <x:v>62</x:v>
      </x:c>
      <x:c r="G13" s="33">
        <x:f>COUNTIFS(InputTours!$D$6:$D$205,A13,InputTours!$B$6:$B$205,B13,InputTours!$L$6:$L$205,"&lt;&gt;")</x:f>
        <x:v>0</x:v>
      </x:c>
      <x:c r="H13" s="51">
        <x:f>COUNTIFS(RoundSummary!$D$5:$D$304,A13,RoundSummary!$B$5:$B$304,B13,RoundSummary!$G$5:$G$304,"&lt;&gt;")</x:f>
        <x:v>0</x:v>
      </x:c>
    </x:row>
    <x:row r="14">
      <x:c r="A14" s="36" t="inlineStr">
        <x:is>
          <x:t xml:space="preserve">Александр Свиридов</x:t>
        </x:is>
      </x:c>
      <x:c r="B14" s="48" t="inlineStr">
        <x:is>
          <x:t xml:space="preserve">Регулярка</x:t>
        </x:is>
      </x:c>
      <x:c r="C14" s="49">
        <x:f>BaseTotals!C14</x:f>
        <x:v>37</x:v>
      </x:c>
      <x:c r="D14">
        <x:f>SUMIFS(InputTours!$L$6:$L$205,InputTours!$D$6:$D$205,A14,InputTours!$B$6:$B$205,B14)</x:f>
        <x:v>0</x:v>
      </x:c>
      <x:c r="E14">
        <x:f>SUMIFS(RoundSummary!$G$5:$G$304,RoundSummary!$D$5:$D$304,A14,RoundSummary!$B$5:$B$304,B14)</x:f>
        <x:v>0</x:v>
      </x:c>
      <x:c r="F14" s="50">
        <x:f>C14+D14+E14</x:f>
        <x:v>37</x:v>
      </x:c>
      <x:c r="G14" s="33">
        <x:f>COUNTIFS(InputTours!$D$6:$D$205,A14,InputTours!$B$6:$B$205,B14,InputTours!$L$6:$L$205,"&lt;&gt;")</x:f>
        <x:v>0</x:v>
      </x:c>
      <x:c r="H14" s="51">
        <x:f>COUNTIFS(RoundSummary!$D$5:$D$304,A14,RoundSummary!$B$5:$B$304,B14,RoundSummary!$G$5:$G$304,"&lt;&gt;")</x:f>
        <x:v>0</x:v>
      </x:c>
    </x:row>
    <x:row r="15">
      <x:c r="A15" s="36" t="inlineStr">
        <x:is>
          <x:t xml:space="preserve">Надюша</x:t>
        </x:is>
      </x:c>
      <x:c r="B15" s="48" t="inlineStr">
        <x:is>
          <x:t xml:space="preserve">Регулярка</x:t>
        </x:is>
      </x:c>
      <x:c r="C15" s="49">
        <x:f>BaseTotals!C15</x:f>
        <x:v>66</x:v>
      </x:c>
      <x:c r="D15">
        <x:f>SUMIFS(InputTours!$L$6:$L$205,InputTours!$D$6:$D$205,A15,InputTours!$B$6:$B$205,B15)</x:f>
        <x:v>0</x:v>
      </x:c>
      <x:c r="E15">
        <x:f>SUMIFS(RoundSummary!$G$5:$G$304,RoundSummary!$D$5:$D$304,A15,RoundSummary!$B$5:$B$304,B15)</x:f>
        <x:v>0</x:v>
      </x:c>
      <x:c r="F15" s="50">
        <x:f>C15+D15+E15</x:f>
        <x:v>66</x:v>
      </x:c>
      <x:c r="G15" s="33">
        <x:f>COUNTIFS(InputTours!$D$6:$D$205,A15,InputTours!$B$6:$B$205,B15,InputTours!$L$6:$L$205,"&lt;&gt;")</x:f>
        <x:v>0</x:v>
      </x:c>
      <x:c r="H15" s="51">
        <x:f>COUNTIFS(RoundSummary!$D$5:$D$304,A15,RoundSummary!$B$5:$B$304,B15,RoundSummary!$G$5:$G$304,"&lt;&gt;")</x:f>
        <x:v>0</x:v>
      </x:c>
    </x:row>
    <x:row r="16">
      <x:c r="A16" s="36" t="inlineStr">
        <x:is>
          <x:t xml:space="preserve">Катюша</x:t>
        </x:is>
      </x:c>
      <x:c r="B16" s="48" t="inlineStr">
        <x:is>
          <x:t xml:space="preserve">Регулярка</x:t>
        </x:is>
      </x:c>
      <x:c r="C16" s="49">
        <x:f>BaseTotals!C16</x:f>
        <x:v>80</x:v>
      </x:c>
      <x:c r="D16">
        <x:f>SUMIFS(InputTours!$L$6:$L$205,InputTours!$D$6:$D$205,A16,InputTours!$B$6:$B$205,B16)</x:f>
        <x:v>0</x:v>
      </x:c>
      <x:c r="E16">
        <x:f>SUMIFS(RoundSummary!$G$5:$G$304,RoundSummary!$D$5:$D$304,A16,RoundSummary!$B$5:$B$304,B16)</x:f>
        <x:v>0</x:v>
      </x:c>
      <x:c r="F16" s="50">
        <x:f>C16+D16+E16</x:f>
        <x:v>80</x:v>
      </x:c>
      <x:c r="G16" s="33">
        <x:f>COUNTIFS(InputTours!$D$6:$D$205,A16,InputTours!$B$6:$B$205,B16,InputTours!$L$6:$L$205,"&lt;&gt;")</x:f>
        <x:v>0</x:v>
      </x:c>
      <x:c r="H16" s="51">
        <x:f>COUNTIFS(RoundSummary!$D$5:$D$304,A16,RoundSummary!$B$5:$B$304,B16,RoundSummary!$G$5:$G$304,"&lt;&gt;")</x:f>
        <x:v>0</x:v>
      </x:c>
    </x:row>
    <x:row r="17">
      <x:c r="A17" s="36" t="inlineStr">
        <x:is>
          <x:t xml:space="preserve">Жека</x:t>
        </x:is>
      </x:c>
      <x:c r="B17" s="48" t="inlineStr">
        <x:is>
          <x:t xml:space="preserve">Регулярка</x:t>
        </x:is>
      </x:c>
      <x:c r="C17" s="49">
        <x:f>BaseTotals!C17</x:f>
        <x:v>87</x:v>
      </x:c>
      <x:c r="D17">
        <x:f>SUMIFS(InputTours!$L$6:$L$205,InputTours!$D$6:$D$205,A17,InputTours!$B$6:$B$205,B17)</x:f>
        <x:v>0</x:v>
      </x:c>
      <x:c r="E17">
        <x:f>SUMIFS(RoundSummary!$G$5:$G$304,RoundSummary!$D$5:$D$304,A17,RoundSummary!$B$5:$B$304,B17)</x:f>
        <x:v>0</x:v>
      </x:c>
      <x:c r="F17" s="50">
        <x:f>C17+D17+E17</x:f>
        <x:v>87</x:v>
      </x:c>
      <x:c r="G17" s="33">
        <x:f>COUNTIFS(InputTours!$D$6:$D$205,A17,InputTours!$B$6:$B$205,B17,InputTours!$L$6:$L$205,"&lt;&gt;")</x:f>
        <x:v>0</x:v>
      </x:c>
      <x:c r="H17" s="51">
        <x:f>COUNTIFS(RoundSummary!$D$5:$D$304,A17,RoundSummary!$B$5:$B$304,B17,RoundSummary!$G$5:$G$304,"&lt;&gt;")</x:f>
        <x:v>0</x:v>
      </x:c>
    </x:row>
    <x:row r="18">
      <x:c r="A18" s="36" t="inlineStr">
        <x:is>
          <x:t xml:space="preserve">Алексей</x:t>
        </x:is>
      </x:c>
      <x:c r="B18" s="48" t="inlineStr">
        <x:is>
          <x:t xml:space="preserve">Регулярка</x:t>
        </x:is>
      </x:c>
      <x:c r="C18" s="49">
        <x:f>BaseTotals!C18</x:f>
        <x:v>86</x:v>
      </x:c>
      <x:c r="D18">
        <x:f>SUMIFS(InputTours!$L$6:$L$205,InputTours!$D$6:$D$205,A18,InputTours!$B$6:$B$205,B18)</x:f>
        <x:v>0</x:v>
      </x:c>
      <x:c r="E18">
        <x:f>SUMIFS(RoundSummary!$G$5:$G$304,RoundSummary!$D$5:$D$304,A18,RoundSummary!$B$5:$B$304,B18)</x:f>
        <x:v>0</x:v>
      </x:c>
      <x:c r="F18" s="50">
        <x:f>C18+D18+E18</x:f>
        <x:v>86</x:v>
      </x:c>
      <x:c r="G18" s="33">
        <x:f>COUNTIFS(InputTours!$D$6:$D$205,A18,InputTours!$B$6:$B$205,B18,InputTours!$L$6:$L$205,"&lt;&gt;")</x:f>
        <x:v>0</x:v>
      </x:c>
      <x:c r="H18" s="51">
        <x:f>COUNTIFS(RoundSummary!$D$5:$D$304,A18,RoundSummary!$B$5:$B$304,B18,RoundSummary!$G$5:$G$304,"&lt;&gt;")</x:f>
        <x:v>0</x:v>
      </x:c>
    </x:row>
    <x:row r="19">
      <x:c r="A19" s="36" t="inlineStr">
        <x:is>
          <x:t xml:space="preserve">Женя Космос</x:t>
        </x:is>
      </x:c>
      <x:c r="B19" s="48" t="inlineStr">
        <x:is>
          <x:t xml:space="preserve">Плей-ин/ПО</x:t>
        </x:is>
      </x:c>
      <x:c r="C19" s="49">
        <x:f>BaseTotals!C19</x:f>
        <x:v>44</x:v>
      </x:c>
      <x:c r="D19">
        <x:f>SUMIFS(InputTours!$L$6:$L$205,InputTours!$D$6:$D$205,A19,InputTours!$B$6:$B$205,B19)</x:f>
        <x:v>0</x:v>
      </x:c>
      <x:c r="E19">
        <x:f>SUMIFS(RoundSummary!$G$5:$G$304,RoundSummary!$D$5:$D$304,A19,RoundSummary!$B$5:$B$304,B19)</x:f>
        <x:v>0</x:v>
      </x:c>
      <x:c r="F19" s="50">
        <x:f>C19+D19+E19</x:f>
        <x:v>44</x:v>
      </x:c>
      <x:c r="G19" s="33">
        <x:f>COUNTIFS(InputTours!$D$6:$D$205,A19,InputTours!$B$6:$B$205,B19,InputTours!$L$6:$L$205,"&lt;&gt;")</x:f>
        <x:v>0</x:v>
      </x:c>
      <x:c r="H19" s="51">
        <x:f>COUNTIFS(RoundSummary!$D$5:$D$304,A19,RoundSummary!$B$5:$B$304,B19,RoundSummary!$G$5:$G$304,"&lt;&gt;")</x:f>
        <x:v>0</x:v>
      </x:c>
    </x:row>
    <x:row r="20">
      <x:c r="A20" s="36" t="inlineStr">
        <x:is>
          <x:t xml:space="preserve">Александр</x:t>
        </x:is>
      </x:c>
      <x:c r="B20" s="48" t="inlineStr">
        <x:is>
          <x:t xml:space="preserve">Плей-ин/ПО</x:t>
        </x:is>
      </x:c>
      <x:c r="C20" s="49">
        <x:f>BaseTotals!C20</x:f>
        <x:v>55</x:v>
      </x:c>
      <x:c r="D20">
        <x:f>SUMIFS(InputTours!$L$6:$L$205,InputTours!$D$6:$D$205,A20,InputTours!$B$6:$B$205,B20)</x:f>
        <x:v>0</x:v>
      </x:c>
      <x:c r="E20">
        <x:f>SUMIFS(RoundSummary!$G$5:$G$304,RoundSummary!$D$5:$D$304,A20,RoundSummary!$B$5:$B$304,B20)</x:f>
        <x:v>0</x:v>
      </x:c>
      <x:c r="F20" s="50">
        <x:f>C20+D20+E20</x:f>
        <x:v>55</x:v>
      </x:c>
      <x:c r="G20" s="33">
        <x:f>COUNTIFS(InputTours!$D$6:$D$205,A20,InputTours!$B$6:$B$205,B20,InputTours!$L$6:$L$205,"&lt;&gt;")</x:f>
        <x:v>0</x:v>
      </x:c>
      <x:c r="H20" s="51">
        <x:f>COUNTIFS(RoundSummary!$D$5:$D$304,A20,RoundSummary!$B$5:$B$304,B20,RoundSummary!$G$5:$G$304,"&lt;&gt;")</x:f>
        <x:v>0</x:v>
      </x:c>
    </x:row>
    <x:row r="21">
      <x:c r="A21" s="36" t="inlineStr">
        <x:is>
          <x:t xml:space="preserve">КатяБет</x:t>
        </x:is>
      </x:c>
      <x:c r="B21" s="48" t="inlineStr">
        <x:is>
          <x:t xml:space="preserve">Плей-ин/ПО</x:t>
        </x:is>
      </x:c>
      <x:c r="C21" s="49">
        <x:f>BaseTotals!C21</x:f>
        <x:v>46</x:v>
      </x:c>
      <x:c r="D21">
        <x:f>SUMIFS(InputTours!$L$6:$L$205,InputTours!$D$6:$D$205,A21,InputTours!$B$6:$B$205,B21)</x:f>
        <x:v>0</x:v>
      </x:c>
      <x:c r="E21">
        <x:f>SUMIFS(RoundSummary!$G$5:$G$304,RoundSummary!$D$5:$D$304,A21,RoundSummary!$B$5:$B$304,B21)</x:f>
        <x:v>0</x:v>
      </x:c>
      <x:c r="F21" s="50">
        <x:f>C21+D21+E21</x:f>
        <x:v>46</x:v>
      </x:c>
      <x:c r="G21" s="33">
        <x:f>COUNTIFS(InputTours!$D$6:$D$205,A21,InputTours!$B$6:$B$205,B21,InputTours!$L$6:$L$205,"&lt;&gt;")</x:f>
        <x:v>0</x:v>
      </x:c>
      <x:c r="H21" s="51">
        <x:f>COUNTIFS(RoundSummary!$D$5:$D$304,A21,RoundSummary!$B$5:$B$304,B21,RoundSummary!$G$5:$G$304,"&lt;&gt;")</x:f>
        <x:v>0</x:v>
      </x:c>
    </x:row>
    <x:row r="22">
      <x:c r="A22" s="36" t="inlineStr">
        <x:is>
          <x:t xml:space="preserve">Яна</x:t>
        </x:is>
      </x:c>
      <x:c r="B22" s="48" t="inlineStr">
        <x:is>
          <x:t xml:space="preserve">Плей-ин/ПО</x:t>
        </x:is>
      </x:c>
      <x:c r="C22" s="49">
        <x:f>BaseTotals!C22</x:f>
        <x:v>22</x:v>
      </x:c>
      <x:c r="D22">
        <x:f>SUMIFS(InputTours!$L$6:$L$205,InputTours!$D$6:$D$205,A22,InputTours!$B$6:$B$205,B22)</x:f>
        <x:v>0</x:v>
      </x:c>
      <x:c r="E22">
        <x:f>SUMIFS(RoundSummary!$G$5:$G$304,RoundSummary!$D$5:$D$304,A22,RoundSummary!$B$5:$B$304,B22)</x:f>
        <x:v>0</x:v>
      </x:c>
      <x:c r="F22" s="50">
        <x:f>C22+D22+E22</x:f>
        <x:v>22</x:v>
      </x:c>
      <x:c r="G22" s="33">
        <x:f>COUNTIFS(InputTours!$D$6:$D$205,A22,InputTours!$B$6:$B$205,B22,InputTours!$L$6:$L$205,"&lt;&gt;")</x:f>
        <x:v>0</x:v>
      </x:c>
      <x:c r="H22" s="51">
        <x:f>COUNTIFS(RoundSummary!$D$5:$D$304,A22,RoundSummary!$B$5:$B$304,B22,RoundSummary!$G$5:$G$304,"&lt;&gt;")</x:f>
        <x:v>0</x:v>
      </x:c>
    </x:row>
    <x:row r="23">
      <x:c r="A23" s="36" t="inlineStr">
        <x:is>
          <x:t xml:space="preserve">Лерка</x:t>
        </x:is>
      </x:c>
      <x:c r="B23" s="48" t="inlineStr">
        <x:is>
          <x:t xml:space="preserve">Плей-ин/ПО</x:t>
        </x:is>
      </x:c>
      <x:c r="C23" s="49">
        <x:f>BaseTotals!C23</x:f>
        <x:v>59</x:v>
      </x:c>
      <x:c r="D23">
        <x:f>SUMIFS(InputTours!$L$6:$L$205,InputTours!$D$6:$D$205,A23,InputTours!$B$6:$B$205,B23)</x:f>
        <x:v>0</x:v>
      </x:c>
      <x:c r="E23">
        <x:f>SUMIFS(RoundSummary!$G$5:$G$304,RoundSummary!$D$5:$D$304,A23,RoundSummary!$B$5:$B$304,B23)</x:f>
        <x:v>0</x:v>
      </x:c>
      <x:c r="F23" s="50">
        <x:f>C23+D23+E23</x:f>
        <x:v>59</x:v>
      </x:c>
      <x:c r="G23" s="33">
        <x:f>COUNTIFS(InputTours!$D$6:$D$205,A23,InputTours!$B$6:$B$205,B23,InputTours!$L$6:$L$205,"&lt;&gt;")</x:f>
        <x:v>0</x:v>
      </x:c>
      <x:c r="H23" s="51">
        <x:f>COUNTIFS(RoundSummary!$D$5:$D$304,A23,RoundSummary!$B$5:$B$304,B23,RoundSummary!$G$5:$G$304,"&lt;&gt;")</x:f>
        <x:v>0</x:v>
      </x:c>
    </x:row>
    <x:row r="24">
      <x:c r="A24" s="36" t="inlineStr">
        <x:is>
          <x:t xml:space="preserve">Валера Волович</x:t>
        </x:is>
      </x:c>
      <x:c r="B24" s="48" t="inlineStr">
        <x:is>
          <x:t xml:space="preserve">Плей-ин/ПО</x:t>
        </x:is>
      </x:c>
      <x:c r="C24" s="49">
        <x:f>BaseTotals!C24</x:f>
        <x:v>10</x:v>
      </x:c>
      <x:c r="D24">
        <x:f>SUMIFS(InputTours!$L$6:$L$205,InputTours!$D$6:$D$205,A24,InputTours!$B$6:$B$205,B24)</x:f>
        <x:v>0</x:v>
      </x:c>
      <x:c r="E24">
        <x:f>SUMIFS(RoundSummary!$G$5:$G$304,RoundSummary!$D$5:$D$304,A24,RoundSummary!$B$5:$B$304,B24)</x:f>
        <x:v>0</x:v>
      </x:c>
      <x:c r="F24" s="50">
        <x:f>C24+D24+E24</x:f>
        <x:v>10</x:v>
      </x:c>
      <x:c r="G24" s="33">
        <x:f>COUNTIFS(InputTours!$D$6:$D$205,A24,InputTours!$B$6:$B$205,B24,InputTours!$L$6:$L$205,"&lt;&gt;")</x:f>
        <x:v>0</x:v>
      </x:c>
      <x:c r="H24" s="51">
        <x:f>COUNTIFS(RoundSummary!$D$5:$D$304,A24,RoundSummary!$B$5:$B$304,B24,RoundSummary!$G$5:$G$304,"&lt;&gt;")</x:f>
        <x:v>0</x:v>
      </x:c>
    </x:row>
    <x:row r="25">
      <x:c r="A25" s="36" t="inlineStr">
        <x:is>
          <x:t xml:space="preserve">Dasha</x:t>
        </x:is>
      </x:c>
      <x:c r="B25" s="48" t="inlineStr">
        <x:is>
          <x:t xml:space="preserve">Плей-ин/ПО</x:t>
        </x:is>
      </x:c>
      <x:c r="C25" s="49">
        <x:f>BaseTotals!C25</x:f>
        <x:v>18</x:v>
      </x:c>
      <x:c r="D25">
        <x:f>SUMIFS(InputTours!$L$6:$L$205,InputTours!$D$6:$D$205,A25,InputTours!$B$6:$B$205,B25)</x:f>
        <x:v>0</x:v>
      </x:c>
      <x:c r="E25">
        <x:f>SUMIFS(RoundSummary!$G$5:$G$304,RoundSummary!$D$5:$D$304,A25,RoundSummary!$B$5:$B$304,B25)</x:f>
        <x:v>0</x:v>
      </x:c>
      <x:c r="F25" s="50">
        <x:f>C25+D25+E25</x:f>
        <x:v>18</x:v>
      </x:c>
      <x:c r="G25" s="33">
        <x:f>COUNTIFS(InputTours!$D$6:$D$205,A25,InputTours!$B$6:$B$205,B25,InputTours!$L$6:$L$205,"&lt;&gt;")</x:f>
        <x:v>0</x:v>
      </x:c>
      <x:c r="H25" s="51">
        <x:f>COUNTIFS(RoundSummary!$D$5:$D$304,A25,RoundSummary!$B$5:$B$304,B25,RoundSummary!$G$5:$G$304,"&lt;&gt;")</x:f>
        <x:v>0</x:v>
      </x:c>
    </x:row>
    <x:row r="26">
      <x:c r="A26" s="36" t="inlineStr">
        <x:is>
          <x:t xml:space="preserve">Влада</x:t>
        </x:is>
      </x:c>
      <x:c r="B26" s="48" t="inlineStr">
        <x:is>
          <x:t xml:space="preserve">Плей-ин/ПО</x:t>
        </x:is>
      </x:c>
      <x:c r="C26" s="49">
        <x:f>BaseTotals!C26</x:f>
        <x:v>45</x:v>
      </x:c>
      <x:c r="D26">
        <x:f>SUMIFS(InputTours!$L$6:$L$205,InputTours!$D$6:$D$205,A26,InputTours!$B$6:$B$205,B26)</x:f>
        <x:v>0</x:v>
      </x:c>
      <x:c r="E26">
        <x:f>SUMIFS(RoundSummary!$G$5:$G$304,RoundSummary!$D$5:$D$304,A26,RoundSummary!$B$5:$B$304,B26)</x:f>
        <x:v>0</x:v>
      </x:c>
      <x:c r="F26" s="50">
        <x:f>C26+D26+E26</x:f>
        <x:v>45</x:v>
      </x:c>
      <x:c r="G26" s="33">
        <x:f>COUNTIFS(InputTours!$D$6:$D$205,A26,InputTours!$B$6:$B$205,B26,InputTours!$L$6:$L$205,"&lt;&gt;")</x:f>
        <x:v>0</x:v>
      </x:c>
      <x:c r="H26" s="51">
        <x:f>COUNTIFS(RoundSummary!$D$5:$D$304,A26,RoundSummary!$B$5:$B$304,B26,RoundSummary!$G$5:$G$304,"&lt;&gt;")</x:f>
        <x:v>0</x:v>
      </x:c>
    </x:row>
    <x:row r="27">
      <x:c r="A27" s="36" t="inlineStr">
        <x:is>
          <x:t xml:space="preserve">Андрей</x:t>
        </x:is>
      </x:c>
      <x:c r="B27" s="48" t="inlineStr">
        <x:is>
          <x:t xml:space="preserve">Плей-ин/ПО</x:t>
        </x:is>
      </x:c>
      <x:c r="C27" s="49">
        <x:f>BaseTotals!C27</x:f>
        <x:v>16</x:v>
      </x:c>
      <x:c r="D27">
        <x:f>SUMIFS(InputTours!$L$6:$L$205,InputTours!$D$6:$D$205,A27,InputTours!$B$6:$B$205,B27)</x:f>
        <x:v>0</x:v>
      </x:c>
      <x:c r="E27">
        <x:f>SUMIFS(RoundSummary!$G$5:$G$304,RoundSummary!$D$5:$D$304,A27,RoundSummary!$B$5:$B$304,B27)</x:f>
        <x:v>0</x:v>
      </x:c>
      <x:c r="F27" s="50">
        <x:f>C27+D27+E27</x:f>
        <x:v>16</x:v>
      </x:c>
      <x:c r="G27" s="33">
        <x:f>COUNTIFS(InputTours!$D$6:$D$205,A27,InputTours!$B$6:$B$205,B27,InputTours!$L$6:$L$205,"&lt;&gt;")</x:f>
        <x:v>0</x:v>
      </x:c>
      <x:c r="H27" s="51">
        <x:f>COUNTIFS(RoundSummary!$D$5:$D$304,A27,RoundSummary!$B$5:$B$304,B27,RoundSummary!$G$5:$G$304,"&lt;&gt;")</x:f>
        <x:v>0</x:v>
      </x:c>
    </x:row>
    <x:row r="28">
      <x:c r="A28" s="36" t="inlineStr">
        <x:is>
          <x:t xml:space="preserve">Александр Свиридов</x:t>
        </x:is>
      </x:c>
      <x:c r="B28" s="48" t="inlineStr">
        <x:is>
          <x:t xml:space="preserve">Плей-ин/ПО</x:t>
        </x:is>
      </x:c>
      <x:c r="C28" s="49">
        <x:f>BaseTotals!C28</x:f>
        <x:v>21</x:v>
      </x:c>
      <x:c r="D28">
        <x:f>SUMIFS(InputTours!$L$6:$L$205,InputTours!$D$6:$D$205,A28,InputTours!$B$6:$B$205,B28)</x:f>
        <x:v>0</x:v>
      </x:c>
      <x:c r="E28">
        <x:f>SUMIFS(RoundSummary!$G$5:$G$304,RoundSummary!$D$5:$D$304,A28,RoundSummary!$B$5:$B$304,B28)</x:f>
        <x:v>0</x:v>
      </x:c>
      <x:c r="F28" s="50">
        <x:f>C28+D28+E28</x:f>
        <x:v>21</x:v>
      </x:c>
      <x:c r="G28" s="33">
        <x:f>COUNTIFS(InputTours!$D$6:$D$205,A28,InputTours!$B$6:$B$205,B28,InputTours!$L$6:$L$205,"&lt;&gt;")</x:f>
        <x:v>0</x:v>
      </x:c>
      <x:c r="H28" s="51">
        <x:f>COUNTIFS(RoundSummary!$D$5:$D$304,A28,RoundSummary!$B$5:$B$304,B28,RoundSummary!$G$5:$G$304,"&lt;&gt;")</x:f>
        <x:v>0</x:v>
      </x:c>
    </x:row>
    <x:row r="29">
      <x:c r="A29" s="36" t="inlineStr">
        <x:is>
          <x:t xml:space="preserve">Надюша</x:t>
        </x:is>
      </x:c>
      <x:c r="B29" s="48" t="inlineStr">
        <x:is>
          <x:t xml:space="preserve">Плей-ин/ПО</x:t>
        </x:is>
      </x:c>
      <x:c r="C29" s="49">
        <x:f>BaseTotals!C29</x:f>
        <x:v>53</x:v>
      </x:c>
      <x:c r="D29">
        <x:f>SUMIFS(InputTours!$L$6:$L$205,InputTours!$D$6:$D$205,A29,InputTours!$B$6:$B$205,B29)</x:f>
        <x:v>0</x:v>
      </x:c>
      <x:c r="E29">
        <x:f>SUMIFS(RoundSummary!$G$5:$G$304,RoundSummary!$D$5:$D$304,A29,RoundSummary!$B$5:$B$304,B29)</x:f>
        <x:v>0</x:v>
      </x:c>
      <x:c r="F29" s="50">
        <x:f>C29+D29+E29</x:f>
        <x:v>53</x:v>
      </x:c>
      <x:c r="G29" s="33">
        <x:f>COUNTIFS(InputTours!$D$6:$D$205,A29,InputTours!$B$6:$B$205,B29,InputTours!$L$6:$L$205,"&lt;&gt;")</x:f>
        <x:v>0</x:v>
      </x:c>
      <x:c r="H29" s="51">
        <x:f>COUNTIFS(RoundSummary!$D$5:$D$304,A29,RoundSummary!$B$5:$B$304,B29,RoundSummary!$G$5:$G$304,"&lt;&gt;")</x:f>
        <x:v>0</x:v>
      </x:c>
    </x:row>
    <x:row r="30">
      <x:c r="A30" s="36" t="inlineStr">
        <x:is>
          <x:t xml:space="preserve">Катюша</x:t>
        </x:is>
      </x:c>
      <x:c r="B30" s="48" t="inlineStr">
        <x:is>
          <x:t xml:space="preserve">Плей-ин/ПО</x:t>
        </x:is>
      </x:c>
      <x:c r="C30" s="49">
        <x:f>BaseTotals!C30</x:f>
        <x:v>51</x:v>
      </x:c>
      <x:c r="D30">
        <x:f>SUMIFS(InputTours!$L$6:$L$205,InputTours!$D$6:$D$205,A30,InputTours!$B$6:$B$205,B30)</x:f>
        <x:v>0</x:v>
      </x:c>
      <x:c r="E30">
        <x:f>SUMIFS(RoundSummary!$G$5:$G$304,RoundSummary!$D$5:$D$304,A30,RoundSummary!$B$5:$B$304,B30)</x:f>
        <x:v>0</x:v>
      </x:c>
      <x:c r="F30" s="50">
        <x:f>C30+D30+E30</x:f>
        <x:v>51</x:v>
      </x:c>
      <x:c r="G30" s="33">
        <x:f>COUNTIFS(InputTours!$D$6:$D$205,A30,InputTours!$B$6:$B$205,B30,InputTours!$L$6:$L$205,"&lt;&gt;")</x:f>
        <x:v>0</x:v>
      </x:c>
      <x:c r="H30" s="51">
        <x:f>COUNTIFS(RoundSummary!$D$5:$D$304,A30,RoundSummary!$B$5:$B$304,B30,RoundSummary!$G$5:$G$304,"&lt;&gt;")</x:f>
        <x:v>0</x:v>
      </x:c>
    </x:row>
    <x:row r="31">
      <x:c r="A31" s="36" t="inlineStr">
        <x:is>
          <x:t xml:space="preserve">Жека</x:t>
        </x:is>
      </x:c>
      <x:c r="B31" s="48" t="inlineStr">
        <x:is>
          <x:t xml:space="preserve">Плей-ин/ПО</x:t>
        </x:is>
      </x:c>
      <x:c r="C31" s="49">
        <x:f>BaseTotals!C31</x:f>
        <x:v>56</x:v>
      </x:c>
      <x:c r="D31">
        <x:f>SUMIFS(InputTours!$L$6:$L$205,InputTours!$D$6:$D$205,A31,InputTours!$B$6:$B$205,B31)</x:f>
        <x:v>0</x:v>
      </x:c>
      <x:c r="E31">
        <x:f>SUMIFS(RoundSummary!$G$5:$G$304,RoundSummary!$D$5:$D$304,A31,RoundSummary!$B$5:$B$304,B31)</x:f>
        <x:v>0</x:v>
      </x:c>
      <x:c r="F31" s="50">
        <x:f>C31+D31+E31</x:f>
        <x:v>56</x:v>
      </x:c>
      <x:c r="G31" s="33">
        <x:f>COUNTIFS(InputTours!$D$6:$D$205,A31,InputTours!$B$6:$B$205,B31,InputTours!$L$6:$L$205,"&lt;&gt;")</x:f>
        <x:v>0</x:v>
      </x:c>
      <x:c r="H31" s="51">
        <x:f>COUNTIFS(RoundSummary!$D$5:$D$304,A31,RoundSummary!$B$5:$B$304,B31,RoundSummary!$G$5:$G$304,"&lt;&gt;")</x:f>
        <x:v>0</x:v>
      </x:c>
    </x:row>
    <x:row r="32">
      <x:c r="A32" s="36" t="inlineStr">
        <x:is>
          <x:t xml:space="preserve">Алексей</x:t>
        </x:is>
      </x:c>
      <x:c r="B32" s="48" t="inlineStr">
        <x:is>
          <x:t xml:space="preserve">Плей-ин/ПО</x:t>
        </x:is>
      </x:c>
      <x:c r="C32" s="49">
        <x:f>BaseTotals!C32</x:f>
        <x:v>45</x:v>
      </x:c>
      <x:c r="D32">
        <x:f>SUMIFS(InputTours!$L$6:$L$205,InputTours!$D$6:$D$205,A32,InputTours!$B$6:$B$205,B32)</x:f>
        <x:v>0</x:v>
      </x:c>
      <x:c r="E32">
        <x:f>SUMIFS(RoundSummary!$G$5:$G$304,RoundSummary!$D$5:$D$304,A32,RoundSummary!$B$5:$B$304,B32)</x:f>
        <x:v>0</x:v>
      </x:c>
      <x:c r="F32" s="50">
        <x:f>C32+D32+E32</x:f>
        <x:v>45</x:v>
      </x:c>
      <x:c r="G32" s="33">
        <x:f>COUNTIFS(InputTours!$D$6:$D$205,A32,InputTours!$B$6:$B$205,B32,InputTours!$L$6:$L$205,"&lt;&gt;")</x:f>
        <x:v>0</x:v>
      </x:c>
      <x:c r="H32" s="51">
        <x:f>COUNTIFS(RoundSummary!$D$5:$D$304,A32,RoundSummary!$B$5:$B$304,B32,RoundSummary!$G$5:$G$304,"&lt;&gt;")</x:f>
        <x:v>0</x:v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2" customWidth="1"/>
    <x:col min="3" max="3" width="12" customWidth="1"/>
    <x:col min="4" max="4" width="12" customWidth="1"/>
    <x:col min="5" max="5" width="10" customWidth="1"/>
    <x:col min="6" max="6" width="11" customWidth="1"/>
    <x:col min="7" max="7" width="10" customWidth="1"/>
    <x:col min="8" max="8" width="15" customWidth="1"/>
    <x:col min="9" max="9" width="18" customWidth="1"/>
  </x:cols>
  <x:sheetData>
    <x:row r="1" ht="24" customHeight="1">
      <x:c r="A1" s="54" t="inlineStr">
        <x:is>
          <x:t xml:space="preserve">Участники и общий рейтинг (автоматический, V3)</x:t>
        </x:is>
      </x:c>
    </x:row>
    <x:row r="2">
      <x:c r="A2" s="56" t="inlineStr">
        <x:is>
          <x:t xml:space="preserve">Рейтинг обновляется автоматически после заполнения листов InputTours и/или InputPlayers.</x:t>
        </x:is>
      </x:c>
    </x:row>
    <x:row r="3">
      <x:c r="A3" s="55" t="n"/>
      <x:c r="B3" s="55" t="n"/>
      <x:c r="C3" s="55" t="n"/>
      <x:c r="D3" s="55" t="n"/>
      <x:c r="E3" s="55" t="n"/>
      <x:c r="F3" s="55" t="n"/>
      <x:c r="G3" s="55" t="n"/>
      <x:c r="H3" s="55" t="n"/>
      <x:c r="I3" s="55" t="n"/>
    </x:row>
    <x:row r="4">
      <x:c r="A4" s="28" t="inlineStr">
        <x:is>
          <x:t xml:space="preserve">Место</x:t>
        </x:is>
      </x:c>
      <x:c r="B4" s="28" t="inlineStr">
        <x:is>
          <x:t xml:space="preserve">Участник</x:t>
        </x:is>
      </x:c>
      <x:c r="C4" s="28" t="inlineStr">
        <x:is>
          <x:t xml:space="preserve">Регулярка</x:t>
        </x:is>
      </x:c>
      <x:c r="D4" s="28" t="inlineStr">
        <x:is>
          <x:t xml:space="preserve">Плей-ин/ПО</x:t>
        </x:is>
      </x:c>
      <x:c r="E4" s="28" t="inlineStr">
        <x:is>
          <x:t xml:space="preserve">Всего</x:t>
        </x:is>
      </x:c>
      <x:c r="F4" s="28" t="inlineStr">
        <x:is>
          <x:t xml:space="preserve">Место рег.</x:t>
        </x:is>
      </x:c>
      <x:c r="G4" s="28" t="inlineStr">
        <x:is>
          <x:t xml:space="preserve">Место ПО</x:t>
        </x:is>
      </x:c>
      <x:c r="H4" s="28" t="inlineStr">
        <x:is>
          <x:t xml:space="preserve">Туров (сумма)</x:t>
        </x:is>
      </x:c>
      <x:c r="I4" s="28" t="inlineStr">
        <x:is>
          <x:t xml:space="preserve">Комментарий</x:t>
        </x:is>
      </x:c>
    </x:row>
    <x:row r="5">
      <x:c r="A5" s="33">
        <x:f>1+COUNTIF($E$5:$E$18,"&gt;"&amp;E5)+COUNTIF($E$5:E5,E5)-1</x:f>
        <x:v>7</x:v>
      </x:c>
      <x:c r="B5" s="36" t="inlineStr">
        <x:is>
          <x:t xml:space="preserve">Женя Космос</x:t>
        </x:is>
      </x:c>
      <x:c r="C5" s="50">
        <x:f>SUMIFS(StageTotals!$F$5:$F$32,StageTotals!$A$5:$A$32,B5,StageTotals!$B$5:$B$32,"Регулярка")</x:f>
        <x:v>73</x:v>
      </x:c>
      <x:c r="D5" s="50">
        <x:f>SUMIFS(StageTotals!$F$5:$F$32,StageTotals!$A$5:$A$32,B5,StageTotals!$B$5:$B$32,"Плей-ин/ПО")</x:f>
        <x:v>44</x:v>
      </x:c>
      <x:c r="E5" s="52">
        <x:f>C5+D5</x:f>
        <x:v>117</x:v>
      </x:c>
      <x:c r="F5" s="40">
        <x:f>1+COUNTIF($C$5:$C$18,"&gt;"&amp;C5)+COUNTIF($C$5:C5,C5)-1</x:f>
        <x:v>6</x:v>
      </x:c>
      <x:c r="G5" s="40">
        <x:f>1+COUNTIF($D$5:$D$18,"&gt;"&amp;D5)+COUNTIF($D$5:D5,D5)-1</x:f>
        <x:v>9</x:v>
      </x:c>
      <x:c r="H5" s="51">
        <x:f>SUMIF(StageTotals!$A$5:$A$32,B5,StageTotals!$G$5:$G$32)+SUMIF(StageTotals!$A$5:$A$32,B5,StageTotals!$H$5:$H$32)</x:f>
        <x:v>0</x:v>
      </x:c>
      <x:c r="I5" s="53" t="inlineStr">
        <x:is>
          <x:t xml:space="preserve">Старт + ручной ввод + ввод по игрокам</x:t>
        </x:is>
      </x:c>
    </x:row>
    <x:row r="6">
      <x:c r="A6" s="33">
        <x:f>1+COUNTIF($E$5:$E$18,"&gt;"&amp;E6)+COUNTIF($E$5:E6,E6)-1</x:f>
        <x:v>8</x:v>
      </x:c>
      <x:c r="B6" s="36" t="inlineStr">
        <x:is>
          <x:t xml:space="preserve">Александр</x:t>
        </x:is>
      </x:c>
      <x:c r="C6" s="50">
        <x:f>SUMIFS(StageTotals!$F$5:$F$32,StageTotals!$A$5:$A$32,B6,StageTotals!$B$5:$B$32,"Регулярка")</x:f>
        <x:v>57</x:v>
      </x:c>
      <x:c r="D6" s="50">
        <x:f>SUMIFS(StageTotals!$F$5:$F$32,StageTotals!$A$5:$A$32,B6,StageTotals!$B$5:$B$32,"Плей-ин/ПО")</x:f>
        <x:v>55</x:v>
      </x:c>
      <x:c r="E6" s="52">
        <x:f>C6+D6</x:f>
        <x:v>112</x:v>
      </x:c>
      <x:c r="F6" s="40">
        <x:f>1+COUNTIF($C$5:$C$18,"&gt;"&amp;C6)+COUNTIF($C$5:C6,C6)-1</x:f>
        <x:v>13</x:v>
      </x:c>
      <x:c r="G6" s="40">
        <x:f>1+COUNTIF($D$5:$D$18,"&gt;"&amp;D6)+COUNTIF($D$5:D6,D6)-1</x:f>
        <x:v>3</x:v>
      </x:c>
      <x:c r="H6" s="51">
        <x:f>SUMIF(StageTotals!$A$5:$A$32,B6,StageTotals!$G$5:$G$32)+SUMIF(StageTotals!$A$5:$A$32,B6,StageTotals!$H$5:$H$32)</x:f>
        <x:v>0</x:v>
      </x:c>
      <x:c r="I6" s="53" t="inlineStr">
        <x:is>
          <x:t xml:space="preserve">Старт + ручной ввод + ввод по игрокам</x:t>
        </x:is>
      </x:c>
    </x:row>
    <x:row r="7">
      <x:c r="A7" s="33">
        <x:f>1+COUNTIF($E$5:$E$18,"&gt;"&amp;E7)+COUNTIF($E$5:E7,E7)-1</x:f>
        <x:v>5</x:v>
      </x:c>
      <x:c r="B7" s="36" t="inlineStr">
        <x:is>
          <x:t xml:space="preserve">КатяБет</x:t>
        </x:is>
      </x:c>
      <x:c r="C7" s="50">
        <x:f>SUMIFS(StageTotals!$F$5:$F$32,StageTotals!$A$5:$A$32,B7,StageTotals!$B$5:$B$32,"Регулярка")</x:f>
        <x:v>77</x:v>
      </x:c>
      <x:c r="D7" s="50">
        <x:f>SUMIFS(StageTotals!$F$5:$F$32,StageTotals!$A$5:$A$32,B7,StageTotals!$B$5:$B$32,"Плей-ин/ПО")</x:f>
        <x:v>46</x:v>
      </x:c>
      <x:c r="E7" s="52">
        <x:f>C7+D7</x:f>
        <x:v>123</x:v>
      </x:c>
      <x:c r="F7" s="40">
        <x:f>1+COUNTIF($C$5:$C$18,"&gt;"&amp;C7)+COUNTIF($C$5:C7,C7)-1</x:f>
        <x:v>5</x:v>
      </x:c>
      <x:c r="G7" s="40">
        <x:f>1+COUNTIF($D$5:$D$18,"&gt;"&amp;D7)+COUNTIF($D$5:D7,D7)-1</x:f>
        <x:v>6</x:v>
      </x:c>
      <x:c r="H7" s="51">
        <x:f>SUMIF(StageTotals!$A$5:$A$32,B7,StageTotals!$G$5:$G$32)+SUMIF(StageTotals!$A$5:$A$32,B7,StageTotals!$H$5:$H$32)</x:f>
        <x:v>0</x:v>
      </x:c>
      <x:c r="I7" s="53" t="inlineStr">
        <x:is>
          <x:t xml:space="preserve">Старт + ручной ввод + ввод по игрокам</x:t>
        </x:is>
      </x:c>
    </x:row>
    <x:row r="8">
      <x:c r="A8" s="33">
        <x:f>1+COUNTIF($E$5:$E$18,"&gt;"&amp;E8)+COUNTIF($E$5:E8,E8)-1</x:f>
        <x:v>10</x:v>
      </x:c>
      <x:c r="B8" s="36" t="inlineStr">
        <x:is>
          <x:t xml:space="preserve">Яна</x:t>
        </x:is>
      </x:c>
      <x:c r="C8" s="50">
        <x:f>SUMIFS(StageTotals!$F$5:$F$32,StageTotals!$A$5:$A$32,B8,StageTotals!$B$5:$B$32,"Регулярка")</x:f>
        <x:v>66</x:v>
      </x:c>
      <x:c r="D8" s="50">
        <x:f>SUMIFS(StageTotals!$F$5:$F$32,StageTotals!$A$5:$A$32,B8,StageTotals!$B$5:$B$32,"Плей-ин/ПО")</x:f>
        <x:v>22</x:v>
      </x:c>
      <x:c r="E8" s="52">
        <x:f>C8+D8</x:f>
        <x:v>88</x:v>
      </x:c>
      <x:c r="F8" s="40">
        <x:f>1+COUNTIF($C$5:$C$18,"&gt;"&amp;C8)+COUNTIF($C$5:C8,C8)-1</x:f>
        <x:v>7</x:v>
      </x:c>
      <x:c r="G8" s="40">
        <x:f>1+COUNTIF($D$5:$D$18,"&gt;"&amp;D8)+COUNTIF($D$5:D8,D8)-1</x:f>
        <x:v>10</x:v>
      </x:c>
      <x:c r="H8" s="51">
        <x:f>SUMIF(StageTotals!$A$5:$A$32,B8,StageTotals!$G$5:$G$32)+SUMIF(StageTotals!$A$5:$A$32,B8,StageTotals!$H$5:$H$32)</x:f>
        <x:v>0</x:v>
      </x:c>
      <x:c r="I8" s="53" t="inlineStr">
        <x:is>
          <x:t xml:space="preserve">Старт + ручной ввод + ввод по игрокам</x:t>
        </x:is>
      </x:c>
    </x:row>
    <x:row r="9">
      <x:c r="A9" s="33">
        <x:f>1+COUNTIF($E$5:$E$18,"&gt;"&amp;E9)+COUNTIF($E$5:E9,E9)-1</x:f>
        <x:v>2</x:v>
      </x:c>
      <x:c r="B9" s="36" t="inlineStr">
        <x:is>
          <x:t xml:space="preserve">Лерка</x:t>
        </x:is>
      </x:c>
      <x:c r="C9" s="50">
        <x:f>SUMIFS(StageTotals!$F$5:$F$32,StageTotals!$A$5:$A$32,B9,StageTotals!$B$5:$B$32,"Регулярка")</x:f>
        <x:v>83</x:v>
      </x:c>
      <x:c r="D9" s="50">
        <x:f>SUMIFS(StageTotals!$F$5:$F$32,StageTotals!$A$5:$A$32,B9,StageTotals!$B$5:$B$32,"Плей-ин/ПО")</x:f>
        <x:v>59</x:v>
      </x:c>
      <x:c r="E9" s="52">
        <x:f>C9+D9</x:f>
        <x:v>142</x:v>
      </x:c>
      <x:c r="F9" s="40">
        <x:f>1+COUNTIF($C$5:$C$18,"&gt;"&amp;C9)+COUNTIF($C$5:C9,C9)-1</x:f>
        <x:v>3</x:v>
      </x:c>
      <x:c r="G9" s="40">
        <x:f>1+COUNTIF($D$5:$D$18,"&gt;"&amp;D9)+COUNTIF($D$5:D9,D9)-1</x:f>
        <x:v>1</x:v>
      </x:c>
      <x:c r="H9" s="51">
        <x:f>SUMIF(StageTotals!$A$5:$A$32,B9,StageTotals!$G$5:$G$32)+SUMIF(StageTotals!$A$5:$A$32,B9,StageTotals!$H$5:$H$32)</x:f>
        <x:v>0</x:v>
      </x:c>
      <x:c r="I9" s="53" t="inlineStr">
        <x:is>
          <x:t xml:space="preserve">Старт + ручной ввод + ввод по игрокам</x:t>
        </x:is>
      </x:c>
    </x:row>
    <x:row r="10">
      <x:c r="A10" s="33">
        <x:f>1+COUNTIF($E$5:$E$18,"&gt;"&amp;E10)+COUNTIF($E$5:E10,E10)-1</x:f>
        <x:v>13</x:v>
      </x:c>
      <x:c r="B10" s="36" t="inlineStr">
        <x:is>
          <x:t xml:space="preserve">Валера Волович</x:t>
        </x:is>
      </x:c>
      <x:c r="C10" s="50">
        <x:f>SUMIFS(StageTotals!$F$5:$F$32,StageTotals!$A$5:$A$32,B10,StageTotals!$B$5:$B$32,"Регулярка")</x:f>
        <x:v>60</x:v>
      </x:c>
      <x:c r="D10" s="50">
        <x:f>SUMIFS(StageTotals!$F$5:$F$32,StageTotals!$A$5:$A$32,B10,StageTotals!$B$5:$B$32,"Плей-ин/ПО")</x:f>
        <x:v>10</x:v>
      </x:c>
      <x:c r="E10" s="52">
        <x:f>C10+D10</x:f>
        <x:v>70</x:v>
      </x:c>
      <x:c r="F10" s="40">
        <x:f>1+COUNTIF($C$5:$C$18,"&gt;"&amp;C10)+COUNTIF($C$5:C10,C10)-1</x:f>
        <x:v>11</x:v>
      </x:c>
      <x:c r="G10" s="40">
        <x:f>1+COUNTIF($D$5:$D$18,"&gt;"&amp;D10)+COUNTIF($D$5:D10,D10)-1</x:f>
        <x:v>14</x:v>
      </x:c>
      <x:c r="H10" s="51">
        <x:f>SUMIF(StageTotals!$A$5:$A$32,B10,StageTotals!$G$5:$G$32)+SUMIF(StageTotals!$A$5:$A$32,B10,StageTotals!$H$5:$H$32)</x:f>
        <x:v>0</x:v>
      </x:c>
      <x:c r="I10" s="53" t="inlineStr">
        <x:is>
          <x:t xml:space="preserve">Старт + ручной ввод + ввод по игрокам</x:t>
        </x:is>
      </x:c>
    </x:row>
    <x:row r="11">
      <x:c r="A11" s="33">
        <x:f>1+COUNTIF($E$5:$E$18,"&gt;"&amp;E11)+COUNTIF($E$5:E11,E11)-1</x:f>
        <x:v>11</x:v>
      </x:c>
      <x:c r="B11" s="36" t="inlineStr">
        <x:is>
          <x:t xml:space="preserve">Dasha</x:t>
        </x:is>
      </x:c>
      <x:c r="C11" s="50">
        <x:f>SUMIFS(StageTotals!$F$5:$F$32,StageTotals!$A$5:$A$32,B11,StageTotals!$B$5:$B$32,"Регулярка")</x:f>
        <x:v>60</x:v>
      </x:c>
      <x:c r="D11" s="50">
        <x:f>SUMIFS(StageTotals!$F$5:$F$32,StageTotals!$A$5:$A$32,B11,StageTotals!$B$5:$B$32,"Плей-ин/ПО")</x:f>
        <x:v>18</x:v>
      </x:c>
      <x:c r="E11" s="52">
        <x:f>C11+D11</x:f>
        <x:v>78</x:v>
      </x:c>
      <x:c r="F11" s="40">
        <x:f>1+COUNTIF($C$5:$C$18,"&gt;"&amp;C11)+COUNTIF($C$5:C11,C11)-1</x:f>
        <x:v>12</x:v>
      </x:c>
      <x:c r="G11" s="40">
        <x:f>1+COUNTIF($D$5:$D$18,"&gt;"&amp;D11)+COUNTIF($D$5:D11,D11)-1</x:f>
        <x:v>12</x:v>
      </x:c>
      <x:c r="H11" s="51">
        <x:f>SUMIF(StageTotals!$A$5:$A$32,B11,StageTotals!$G$5:$G$32)+SUMIF(StageTotals!$A$5:$A$32,B11,StageTotals!$H$5:$H$32)</x:f>
        <x:v>0</x:v>
      </x:c>
      <x:c r="I11" s="53" t="inlineStr">
        <x:is>
          <x:t xml:space="preserve">Старт + ручной ввод + ввод по игрокам</x:t>
        </x:is>
      </x:c>
    </x:row>
    <x:row r="12">
      <x:c r="A12" s="33">
        <x:f>1+COUNTIF($E$5:$E$18,"&gt;"&amp;E12)+COUNTIF($E$5:E12,E12)-1</x:f>
        <x:v>9</x:v>
      </x:c>
      <x:c r="B12" s="36" t="inlineStr">
        <x:is>
          <x:t xml:space="preserve">Влада</x:t>
        </x:is>
      </x:c>
      <x:c r="C12" s="50">
        <x:f>SUMIFS(StageTotals!$F$5:$F$32,StageTotals!$A$5:$A$32,B12,StageTotals!$B$5:$B$32,"Регулярка")</x:f>
        <x:v>65</x:v>
      </x:c>
      <x:c r="D12" s="50">
        <x:f>SUMIFS(StageTotals!$F$5:$F$32,StageTotals!$A$5:$A$32,B12,StageTotals!$B$5:$B$32,"Плей-ин/ПО")</x:f>
        <x:v>45</x:v>
      </x:c>
      <x:c r="E12" s="52">
        <x:f>C12+D12</x:f>
        <x:v>110</x:v>
      </x:c>
      <x:c r="F12" s="40">
        <x:f>1+COUNTIF($C$5:$C$18,"&gt;"&amp;C12)+COUNTIF($C$5:C12,C12)-1</x:f>
        <x:v>9</x:v>
      </x:c>
      <x:c r="G12" s="40">
        <x:f>1+COUNTIF($D$5:$D$18,"&gt;"&amp;D12)+COUNTIF($D$5:D12,D12)-1</x:f>
        <x:v>7</x:v>
      </x:c>
      <x:c r="H12" s="51">
        <x:f>SUMIF(StageTotals!$A$5:$A$32,B12,StageTotals!$G$5:$G$32)+SUMIF(StageTotals!$A$5:$A$32,B12,StageTotals!$H$5:$H$32)</x:f>
        <x:v>0</x:v>
      </x:c>
      <x:c r="I12" s="53" t="inlineStr">
        <x:is>
          <x:t xml:space="preserve">Старт + ручной ввод + ввод по игрокам</x:t>
        </x:is>
      </x:c>
    </x:row>
    <x:row r="13">
      <x:c r="A13" s="33">
        <x:f>1+COUNTIF($E$5:$E$18,"&gt;"&amp;E13)+COUNTIF($E$5:E13,E13)-1</x:f>
        <x:v>12</x:v>
      </x:c>
      <x:c r="B13" s="36" t="inlineStr">
        <x:is>
          <x:t xml:space="preserve">Андрей</x:t>
        </x:is>
      </x:c>
      <x:c r="C13" s="50">
        <x:f>SUMIFS(StageTotals!$F$5:$F$32,StageTotals!$A$5:$A$32,B13,StageTotals!$B$5:$B$32,"Регулярка")</x:f>
        <x:v>62</x:v>
      </x:c>
      <x:c r="D13" s="50">
        <x:f>SUMIFS(StageTotals!$F$5:$F$32,StageTotals!$A$5:$A$32,B13,StageTotals!$B$5:$B$32,"Плей-ин/ПО")</x:f>
        <x:v>16</x:v>
      </x:c>
      <x:c r="E13" s="52">
        <x:f>C13+D13</x:f>
        <x:v>78</x:v>
      </x:c>
      <x:c r="F13" s="40">
        <x:f>1+COUNTIF($C$5:$C$18,"&gt;"&amp;C13)+COUNTIF($C$5:C13,C13)-1</x:f>
        <x:v>10</x:v>
      </x:c>
      <x:c r="G13" s="40">
        <x:f>1+COUNTIF($D$5:$D$18,"&gt;"&amp;D13)+COUNTIF($D$5:D13,D13)-1</x:f>
        <x:v>13</x:v>
      </x:c>
      <x:c r="H13" s="51">
        <x:f>SUMIF(StageTotals!$A$5:$A$32,B13,StageTotals!$G$5:$G$32)+SUMIF(StageTotals!$A$5:$A$32,B13,StageTotals!$H$5:$H$32)</x:f>
        <x:v>0</x:v>
      </x:c>
      <x:c r="I13" s="53" t="inlineStr">
        <x:is>
          <x:t xml:space="preserve">Старт + ручной ввод + ввод по игрокам</x:t>
        </x:is>
      </x:c>
    </x:row>
    <x:row r="14">
      <x:c r="A14" s="33">
        <x:f>1+COUNTIF($E$5:$E$18,"&gt;"&amp;E14)+COUNTIF($E$5:E14,E14)-1</x:f>
        <x:v>14</x:v>
      </x:c>
      <x:c r="B14" s="36" t="inlineStr">
        <x:is>
          <x:t xml:space="preserve">Александр Свиридов</x:t>
        </x:is>
      </x:c>
      <x:c r="C14" s="50">
        <x:f>SUMIFS(StageTotals!$F$5:$F$32,StageTotals!$A$5:$A$32,B14,StageTotals!$B$5:$B$32,"Регулярка")</x:f>
        <x:v>37</x:v>
      </x:c>
      <x:c r="D14" s="50">
        <x:f>SUMIFS(StageTotals!$F$5:$F$32,StageTotals!$A$5:$A$32,B14,StageTotals!$B$5:$B$32,"Плей-ин/ПО")</x:f>
        <x:v>21</x:v>
      </x:c>
      <x:c r="E14" s="52">
        <x:f>C14+D14</x:f>
        <x:v>58</x:v>
      </x:c>
      <x:c r="F14" s="40">
        <x:f>1+COUNTIF($C$5:$C$18,"&gt;"&amp;C14)+COUNTIF($C$5:C14,C14)-1</x:f>
        <x:v>14</x:v>
      </x:c>
      <x:c r="G14" s="40">
        <x:f>1+COUNTIF($D$5:$D$18,"&gt;"&amp;D14)+COUNTIF($D$5:D14,D14)-1</x:f>
        <x:v>11</x:v>
      </x:c>
      <x:c r="H14" s="51">
        <x:f>SUMIF(StageTotals!$A$5:$A$32,B14,StageTotals!$G$5:$G$32)+SUMIF(StageTotals!$A$5:$A$32,B14,StageTotals!$H$5:$H$32)</x:f>
        <x:v>0</x:v>
      </x:c>
      <x:c r="I14" s="53" t="inlineStr">
        <x:is>
          <x:t xml:space="preserve">Старт + ручной ввод + ввод по игрокам</x:t>
        </x:is>
      </x:c>
    </x:row>
    <x:row r="15">
      <x:c r="A15" s="33">
        <x:f>1+COUNTIF($E$5:$E$18,"&gt;"&amp;E15)+COUNTIF($E$5:E15,E15)-1</x:f>
        <x:v>6</x:v>
      </x:c>
      <x:c r="B15" s="36" t="inlineStr">
        <x:is>
          <x:t xml:space="preserve">Надюша</x:t>
        </x:is>
      </x:c>
      <x:c r="C15" s="50">
        <x:f>SUMIFS(StageTotals!$F$5:$F$32,StageTotals!$A$5:$A$32,B15,StageTotals!$B$5:$B$32,"Регулярка")</x:f>
        <x:v>66</x:v>
      </x:c>
      <x:c r="D15" s="50">
        <x:f>SUMIFS(StageTotals!$F$5:$F$32,StageTotals!$A$5:$A$32,B15,StageTotals!$B$5:$B$32,"Плей-ин/ПО")</x:f>
        <x:v>53</x:v>
      </x:c>
      <x:c r="E15" s="52">
        <x:f>C15+D15</x:f>
        <x:v>119</x:v>
      </x:c>
      <x:c r="F15" s="40">
        <x:f>1+COUNTIF($C$5:$C$18,"&gt;"&amp;C15)+COUNTIF($C$5:C15,C15)-1</x:f>
        <x:v>8</x:v>
      </x:c>
      <x:c r="G15" s="40">
        <x:f>1+COUNTIF($D$5:$D$18,"&gt;"&amp;D15)+COUNTIF($D$5:D15,D15)-1</x:f>
        <x:v>4</x:v>
      </x:c>
      <x:c r="H15" s="51">
        <x:f>SUMIF(StageTotals!$A$5:$A$32,B15,StageTotals!$G$5:$G$32)+SUMIF(StageTotals!$A$5:$A$32,B15,StageTotals!$H$5:$H$32)</x:f>
        <x:v>0</x:v>
      </x:c>
      <x:c r="I15" s="53" t="inlineStr">
        <x:is>
          <x:t xml:space="preserve">Старт + ручной ввод + ввод по игрокам</x:t>
        </x:is>
      </x:c>
    </x:row>
    <x:row r="16">
      <x:c r="A16" s="33">
        <x:f>1+COUNTIF($E$5:$E$18,"&gt;"&amp;E16)+COUNTIF($E$5:E16,E16)-1</x:f>
        <x:v>3</x:v>
      </x:c>
      <x:c r="B16" s="36" t="inlineStr">
        <x:is>
          <x:t xml:space="preserve">Катюша</x:t>
        </x:is>
      </x:c>
      <x:c r="C16" s="50">
        <x:f>SUMIFS(StageTotals!$F$5:$F$32,StageTotals!$A$5:$A$32,B16,StageTotals!$B$5:$B$32,"Регулярка")</x:f>
        <x:v>80</x:v>
      </x:c>
      <x:c r="D16" s="50">
        <x:f>SUMIFS(StageTotals!$F$5:$F$32,StageTotals!$A$5:$A$32,B16,StageTotals!$B$5:$B$32,"Плей-ин/ПО")</x:f>
        <x:v>51</x:v>
      </x:c>
      <x:c r="E16" s="52">
        <x:f>C16+D16</x:f>
        <x:v>131</x:v>
      </x:c>
      <x:c r="F16" s="40">
        <x:f>1+COUNTIF($C$5:$C$18,"&gt;"&amp;C16)+COUNTIF($C$5:C16,C16)-1</x:f>
        <x:v>4</x:v>
      </x:c>
      <x:c r="G16" s="40">
        <x:f>1+COUNTIF($D$5:$D$18,"&gt;"&amp;D16)+COUNTIF($D$5:D16,D16)-1</x:f>
        <x:v>5</x:v>
      </x:c>
      <x:c r="H16" s="51">
        <x:f>SUMIF(StageTotals!$A$5:$A$32,B16,StageTotals!$G$5:$G$32)+SUMIF(StageTotals!$A$5:$A$32,B16,StageTotals!$H$5:$H$32)</x:f>
        <x:v>0</x:v>
      </x:c>
      <x:c r="I16" s="53" t="inlineStr">
        <x:is>
          <x:t xml:space="preserve">Старт + ручной ввод + ввод по игрокам</x:t>
        </x:is>
      </x:c>
    </x:row>
    <x:row r="17">
      <x:c r="A17" s="33">
        <x:f>1+COUNTIF($E$5:$E$18,"&gt;"&amp;E17)+COUNTIF($E$5:E17,E17)-1</x:f>
        <x:v>1</x:v>
      </x:c>
      <x:c r="B17" s="36" t="inlineStr">
        <x:is>
          <x:t xml:space="preserve">Жека</x:t>
        </x:is>
      </x:c>
      <x:c r="C17" s="50">
        <x:f>SUMIFS(StageTotals!$F$5:$F$32,StageTotals!$A$5:$A$32,B17,StageTotals!$B$5:$B$32,"Регулярка")</x:f>
        <x:v>87</x:v>
      </x:c>
      <x:c r="D17" s="50">
        <x:f>SUMIFS(StageTotals!$F$5:$F$32,StageTotals!$A$5:$A$32,B17,StageTotals!$B$5:$B$32,"Плей-ин/ПО")</x:f>
        <x:v>56</x:v>
      </x:c>
      <x:c r="E17" s="52">
        <x:f>C17+D17</x:f>
        <x:v>143</x:v>
      </x:c>
      <x:c r="F17" s="40">
        <x:f>1+COUNTIF($C$5:$C$18,"&gt;"&amp;C17)+COUNTIF($C$5:C17,C17)-1</x:f>
        <x:v>1</x:v>
      </x:c>
      <x:c r="G17" s="40">
        <x:f>1+COUNTIF($D$5:$D$18,"&gt;"&amp;D17)+COUNTIF($D$5:D17,D17)-1</x:f>
        <x:v>2</x:v>
      </x:c>
      <x:c r="H17" s="51">
        <x:f>SUMIF(StageTotals!$A$5:$A$32,B17,StageTotals!$G$5:$G$32)+SUMIF(StageTotals!$A$5:$A$32,B17,StageTotals!$H$5:$H$32)</x:f>
        <x:v>0</x:v>
      </x:c>
      <x:c r="I17" s="53" t="inlineStr">
        <x:is>
          <x:t xml:space="preserve">Старт + ручной ввод + ввод по игрокам</x:t>
        </x:is>
      </x:c>
    </x:row>
    <x:row r="18">
      <x:c r="A18" s="33">
        <x:f>1+COUNTIF($E$5:$E$18,"&gt;"&amp;E18)+COUNTIF($E$5:E18,E18)-1</x:f>
        <x:v>4</x:v>
      </x:c>
      <x:c r="B18" s="36" t="inlineStr">
        <x:is>
          <x:t xml:space="preserve">Алексей</x:t>
        </x:is>
      </x:c>
      <x:c r="C18" s="50">
        <x:f>SUMIFS(StageTotals!$F$5:$F$32,StageTotals!$A$5:$A$32,B18,StageTotals!$B$5:$B$32,"Регулярка")</x:f>
        <x:v>86</x:v>
      </x:c>
      <x:c r="D18" s="50">
        <x:f>SUMIFS(StageTotals!$F$5:$F$32,StageTotals!$A$5:$A$32,B18,StageTotals!$B$5:$B$32,"Плей-ин/ПО")</x:f>
        <x:v>45</x:v>
      </x:c>
      <x:c r="E18" s="52">
        <x:f>C18+D18</x:f>
        <x:v>131</x:v>
      </x:c>
      <x:c r="F18" s="40">
        <x:f>1+COUNTIF($C$5:$C$18,"&gt;"&amp;C18)+COUNTIF($C$5:C18,C18)-1</x:f>
        <x:v>2</x:v>
      </x:c>
      <x:c r="G18" s="40">
        <x:f>1+COUNTIF($D$5:$D$18,"&gt;"&amp;D18)+COUNTIF($D$5:D18,D18)-1</x:f>
        <x:v>8</x:v>
      </x:c>
      <x:c r="H18" s="51">
        <x:f>SUMIF(StageTotals!$A$5:$A$32,B18,StageTotals!$G$5:$G$32)+SUMIF(StageTotals!$A$5:$A$32,B18,StageTotals!$H$5:$H$32)</x:f>
        <x:v>0</x:v>
      </x:c>
      <x:c r="I18" s="53" t="inlineStr">
        <x:is>
          <x:t xml:space="preserve">Старт + ручной ввод + ввод по игрокам</x:t>
        </x:is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6" customWidth="1"/>
    <x:col min="3" max="3" width="14" customWidth="1"/>
    <x:col min="4" max="4" width="12" customWidth="1"/>
    <x:col min="5" max="5" width="12" customWidth="1"/>
    <x:col min="6" max="6" width="14" customWidth="1"/>
    <x:col min="7" max="7" width="14" customWidth="1"/>
    <x:col min="8" max="8" width="18" customWidth="1"/>
  </x:cols>
  <x:sheetData>
    <x:row r="1">
      <x:c r="A1" s="55" t="inlineStr">
        <x:is>
          <x:t xml:space="preserve">Сводка по игрокам из InputPlayers</x:t>
        </x:is>
      </x:c>
      <x:c r="B1" s="55" t="n"/>
      <x:c r="C1" s="55" t="n"/>
      <x:c r="D1" s="55" t="n"/>
      <x:c r="E1" s="55" t="n"/>
      <x:c r="F1" s="55" t="n"/>
      <x:c r="G1" s="55" t="n"/>
      <x:c r="H1" s="55" t="n"/>
    </x:row>
    <x:row r="2">
      <x:c r="A2" s="55" t="inlineStr">
        <x:is>
          <x:t xml:space="preserve">Заполняется автоматически на основе детального ввода. Удобно смотреть, кто чаще всего приносит очки.</x:t>
        </x:is>
      </x:c>
      <x:c r="B2" s="55" t="n"/>
      <x:c r="C2" s="55" t="n"/>
      <x:c r="D2" s="55" t="n"/>
      <x:c r="E2" s="55" t="n"/>
      <x:c r="F2" s="55" t="n"/>
      <x:c r="G2" s="55" t="n"/>
      <x:c r="H2" s="55" t="n"/>
    </x:row>
    <x:row r="3">
      <x:c r="A3" s="55" t="n"/>
      <x:c r="B3" s="55" t="n"/>
      <x:c r="C3" s="55" t="n"/>
      <x:c r="D3" s="55" t="n"/>
      <x:c r="E3" s="55" t="n"/>
      <x:c r="F3" s="55" t="n"/>
      <x:c r="G3" s="55" t="n"/>
      <x:c r="H3" s="55" t="n"/>
    </x:row>
    <x:row r="4">
      <x:c r="A4" s="60" t="inlineStr">
        <x:is>
          <x:t xml:space="preserve">Игрок</x:t>
        </x:is>
      </x:c>
      <x:c r="B4" s="60" t="inlineStr">
        <x:is>
          <x:t xml:space="preserve">Клуб</x:t>
        </x:is>
      </x:c>
      <x:c r="C4" s="60" t="inlineStr">
        <x:is>
          <x:t xml:space="preserve">Позиция</x:t>
        </x:is>
      </x:c>
      <x:c r="D4" s="60" t="inlineStr">
        <x:is>
          <x:t xml:space="preserve">Строк</x:t>
        </x:is>
      </x:c>
      <x:c r="E4" s="60" t="inlineStr">
        <x:is>
          <x:t xml:space="preserve">Голы</x:t>
        </x:is>
      </x:c>
      <x:c r="F4" s="60" t="inlineStr">
        <x:is>
          <x:t xml:space="preserve">Передачи</x:t>
        </x:is>
      </x:c>
      <x:c r="G4" s="60" t="inlineStr">
        <x:is>
          <x:t xml:space="preserve">Очков</x:t>
        </x:is>
      </x:c>
      <x:c r="H4" s="60" t="inlineStr">
        <x:is>
          <x:t xml:space="preserve">Среднее</x:t>
        </x:is>
      </x:c>
    </x:row>
    <x:row r="5">
      <x:c r="A5">
        <x:f>IF(InputPlayers!F6="","",IF(COUNTIF($A$5:A5,InputPlayers!F6)&gt;0,"",InputPlayers!F6))</x:f>
      </x:c>
      <x:c r="B5">
        <x:f>IF(A5="","",XLOOKUP(A5,InputPlayers!$F$6:$F$305,InputPlayers!$G$6:$G$305,""))</x:f>
      </x:c>
      <x:c r="C5">
        <x:f>IF(A5="","",XLOOKUP(A5,InputPlayers!$F$6:$F$305,InputPlayers!$H$6:$H$305,""))</x:f>
      </x:c>
      <x:c r="D5">
        <x:f>IF(A5="","",COUNTIFS(InputPlayers!$F$6:$F$305,A5,InputPlayers!$O$6:$O$305,"Да"))</x:f>
      </x:c>
      <x:c r="E5">
        <x:f>IF(A5="","",SUMIFS(InputPlayers!$I$6:$I$305,InputPlayers!$F$6:$F$305,A5,InputPlayers!$O$6:$O$305,"Да"))</x:f>
      </x:c>
      <x:c r="F5">
        <x:f>IF(A5="","",SUMIFS(InputPlayers!$J$6:$J$305,InputPlayers!$F$6:$F$305,A5,InputPlayers!$O$6:$O$305,"Да"))</x:f>
      </x:c>
      <x:c r="G5">
        <x:f>IF(A5="","",SUMIFS(InputPlayers!$N$6:$N$305,InputPlayers!$F$6:$F$305,A5,InputPlayers!$O$6:$O$305,"Да"))</x:f>
      </x:c>
      <x:c r="H5">
        <x:f>IFERROR(G5/D5,"")</x:f>
      </x:c>
    </x:row>
    <x:row r="6">
      <x:c r="A6">
        <x:f>IF(InputPlayers!F7="","",IF(COUNTIF($A$5:A6,InputPlayers!F7)&gt;0,"",InputPlayers!F7))</x:f>
      </x:c>
      <x:c r="B6">
        <x:f>IF(A6="","",XLOOKUP(A6,InputPlayers!$F$6:$F$305,InputPlayers!$G$6:$G$305,""))</x:f>
      </x:c>
      <x:c r="C6">
        <x:f>IF(A6="","",XLOOKUP(A6,InputPlayers!$F$6:$F$305,InputPlayers!$H$6:$H$305,""))</x:f>
      </x:c>
      <x:c r="D6">
        <x:f>IF(A6="","",COUNTIFS(InputPlayers!$F$6:$F$305,A6,InputPlayers!$O$6:$O$305,"Да"))</x:f>
      </x:c>
      <x:c r="E6">
        <x:f>IF(A6="","",SUMIFS(InputPlayers!$I$6:$I$305,InputPlayers!$F$6:$F$305,A6,InputPlayers!$O$6:$O$305,"Да"))</x:f>
      </x:c>
      <x:c r="F6">
        <x:f>IF(A6="","",SUMIFS(InputPlayers!$J$6:$J$305,InputPlayers!$F$6:$F$305,A6,InputPlayers!$O$6:$O$305,"Да"))</x:f>
      </x:c>
      <x:c r="G6">
        <x:f>IF(A6="","",SUMIFS(InputPlayers!$N$6:$N$305,InputPlayers!$F$6:$F$305,A6,InputPlayers!$O$6:$O$305,"Да"))</x:f>
      </x:c>
      <x:c r="H6">
        <x:f>IFERROR(G6/D6,"")</x:f>
      </x:c>
    </x:row>
    <x:row r="7">
      <x:c r="A7">
        <x:f>IF(InputPlayers!F8="","",IF(COUNTIF($A$5:A7,InputPlayers!F8)&gt;0,"",InputPlayers!F8))</x:f>
      </x:c>
      <x:c r="B7">
        <x:f>IF(A7="","",XLOOKUP(A7,InputPlayers!$F$6:$F$305,InputPlayers!$G$6:$G$305,""))</x:f>
      </x:c>
      <x:c r="C7">
        <x:f>IF(A7="","",XLOOKUP(A7,InputPlayers!$F$6:$F$305,InputPlayers!$H$6:$H$305,""))</x:f>
      </x:c>
      <x:c r="D7">
        <x:f>IF(A7="","",COUNTIFS(InputPlayers!$F$6:$F$305,A7,InputPlayers!$O$6:$O$305,"Да"))</x:f>
      </x:c>
      <x:c r="E7">
        <x:f>IF(A7="","",SUMIFS(InputPlayers!$I$6:$I$305,InputPlayers!$F$6:$F$305,A7,InputPlayers!$O$6:$O$305,"Да"))</x:f>
      </x:c>
      <x:c r="F7">
        <x:f>IF(A7="","",SUMIFS(InputPlayers!$J$6:$J$305,InputPlayers!$F$6:$F$305,A7,InputPlayers!$O$6:$O$305,"Да"))</x:f>
      </x:c>
      <x:c r="G7">
        <x:f>IF(A7="","",SUMIFS(InputPlayers!$N$6:$N$305,InputPlayers!$F$6:$F$305,A7,InputPlayers!$O$6:$O$305,"Да"))</x:f>
      </x:c>
      <x:c r="H7">
        <x:f>IFERROR(G7/D7,"")</x:f>
      </x:c>
    </x:row>
    <x:row r="8">
      <x:c r="A8">
        <x:f>IF(InputPlayers!F9="","",IF(COUNTIF($A$5:A8,InputPlayers!F9)&gt;0,"",InputPlayers!F9))</x:f>
      </x:c>
      <x:c r="B8">
        <x:f>IF(A8="","",XLOOKUP(A8,InputPlayers!$F$6:$F$305,InputPlayers!$G$6:$G$305,""))</x:f>
      </x:c>
      <x:c r="C8">
        <x:f>IF(A8="","",XLOOKUP(A8,InputPlayers!$F$6:$F$305,InputPlayers!$H$6:$H$305,""))</x:f>
      </x:c>
      <x:c r="D8">
        <x:f>IF(A8="","",COUNTIFS(InputPlayers!$F$6:$F$305,A8,InputPlayers!$O$6:$O$305,"Да"))</x:f>
      </x:c>
      <x:c r="E8">
        <x:f>IF(A8="","",SUMIFS(InputPlayers!$I$6:$I$305,InputPlayers!$F$6:$F$305,A8,InputPlayers!$O$6:$O$305,"Да"))</x:f>
      </x:c>
      <x:c r="F8">
        <x:f>IF(A8="","",SUMIFS(InputPlayers!$J$6:$J$305,InputPlayers!$F$6:$F$305,A8,InputPlayers!$O$6:$O$305,"Да"))</x:f>
      </x:c>
      <x:c r="G8">
        <x:f>IF(A8="","",SUMIFS(InputPlayers!$N$6:$N$305,InputPlayers!$F$6:$F$305,A8,InputPlayers!$O$6:$O$305,"Да"))</x:f>
      </x:c>
      <x:c r="H8">
        <x:f>IFERROR(G8/D8,"")</x:f>
      </x:c>
    </x:row>
    <x:row r="9">
      <x:c r="A9">
        <x:f>IF(InputPlayers!F10="","",IF(COUNTIF($A$5:A9,InputPlayers!F10)&gt;0,"",InputPlayers!F10))</x:f>
      </x:c>
      <x:c r="B9">
        <x:f>IF(A9="","",XLOOKUP(A9,InputPlayers!$F$6:$F$305,InputPlayers!$G$6:$G$305,""))</x:f>
      </x:c>
      <x:c r="C9">
        <x:f>IF(A9="","",XLOOKUP(A9,InputPlayers!$F$6:$F$305,InputPlayers!$H$6:$H$305,""))</x:f>
      </x:c>
      <x:c r="D9">
        <x:f>IF(A9="","",COUNTIFS(InputPlayers!$F$6:$F$305,A9,InputPlayers!$O$6:$O$305,"Да"))</x:f>
      </x:c>
      <x:c r="E9">
        <x:f>IF(A9="","",SUMIFS(InputPlayers!$I$6:$I$305,InputPlayers!$F$6:$F$305,A9,InputPlayers!$O$6:$O$305,"Да"))</x:f>
      </x:c>
      <x:c r="F9">
        <x:f>IF(A9="","",SUMIFS(InputPlayers!$J$6:$J$305,InputPlayers!$F$6:$F$305,A9,InputPlayers!$O$6:$O$305,"Да"))</x:f>
      </x:c>
      <x:c r="G9">
        <x:f>IF(A9="","",SUMIFS(InputPlayers!$N$6:$N$305,InputPlayers!$F$6:$F$305,A9,InputPlayers!$O$6:$O$305,"Да"))</x:f>
      </x:c>
      <x:c r="H9">
        <x:f>IFERROR(G9/D9,"")</x:f>
      </x:c>
    </x:row>
    <x:row r="10">
      <x:c r="A10">
        <x:f>IF(InputPlayers!F11="","",IF(COUNTIF($A$5:A10,InputPlayers!F11)&gt;0,"",InputPlayers!F11))</x:f>
      </x:c>
      <x:c r="B10">
        <x:f>IF(A10="","",XLOOKUP(A10,InputPlayers!$F$6:$F$305,InputPlayers!$G$6:$G$305,""))</x:f>
      </x:c>
      <x:c r="C10">
        <x:f>IF(A10="","",XLOOKUP(A10,InputPlayers!$F$6:$F$305,InputPlayers!$H$6:$H$305,""))</x:f>
      </x:c>
      <x:c r="D10">
        <x:f>IF(A10="","",COUNTIFS(InputPlayers!$F$6:$F$305,A10,InputPlayers!$O$6:$O$305,"Да"))</x:f>
      </x:c>
      <x:c r="E10">
        <x:f>IF(A10="","",SUMIFS(InputPlayers!$I$6:$I$305,InputPlayers!$F$6:$F$305,A10,InputPlayers!$O$6:$O$305,"Да"))</x:f>
      </x:c>
      <x:c r="F10">
        <x:f>IF(A10="","",SUMIFS(InputPlayers!$J$6:$J$305,InputPlayers!$F$6:$F$305,A10,InputPlayers!$O$6:$O$305,"Да"))</x:f>
      </x:c>
      <x:c r="G10">
        <x:f>IF(A10="","",SUMIFS(InputPlayers!$N$6:$N$305,InputPlayers!$F$6:$F$305,A10,InputPlayers!$O$6:$O$305,"Да"))</x:f>
      </x:c>
      <x:c r="H10">
        <x:f>IFERROR(G10/D10,"")</x:f>
      </x:c>
    </x:row>
    <x:row r="11">
      <x:c r="A11">
        <x:f>IF(InputPlayers!F12="","",IF(COUNTIF($A$5:A11,InputPlayers!F12)&gt;0,"",InputPlayers!F12))</x:f>
      </x:c>
      <x:c r="B11">
        <x:f>IF(A11="","",XLOOKUP(A11,InputPlayers!$F$6:$F$305,InputPlayers!$G$6:$G$305,""))</x:f>
      </x:c>
      <x:c r="C11">
        <x:f>IF(A11="","",XLOOKUP(A11,InputPlayers!$F$6:$F$305,InputPlayers!$H$6:$H$305,""))</x:f>
      </x:c>
      <x:c r="D11">
        <x:f>IF(A11="","",COUNTIFS(InputPlayers!$F$6:$F$305,A11,InputPlayers!$O$6:$O$305,"Да"))</x:f>
      </x:c>
      <x:c r="E11">
        <x:f>IF(A11="","",SUMIFS(InputPlayers!$I$6:$I$305,InputPlayers!$F$6:$F$305,A11,InputPlayers!$O$6:$O$305,"Да"))</x:f>
      </x:c>
      <x:c r="F11">
        <x:f>IF(A11="","",SUMIFS(InputPlayers!$J$6:$J$305,InputPlayers!$F$6:$F$305,A11,InputPlayers!$O$6:$O$305,"Да"))</x:f>
      </x:c>
      <x:c r="G11">
        <x:f>IF(A11="","",SUMIFS(InputPlayers!$N$6:$N$305,InputPlayers!$F$6:$F$305,A11,InputPlayers!$O$6:$O$305,"Да"))</x:f>
      </x:c>
      <x:c r="H11">
        <x:f>IFERROR(G11/D11,"")</x:f>
      </x:c>
    </x:row>
    <x:row r="12">
      <x:c r="A12">
        <x:f>IF(InputPlayers!F13="","",IF(COUNTIF($A$5:A12,InputPlayers!F13)&gt;0,"",InputPlayers!F13))</x:f>
      </x:c>
      <x:c r="B12">
        <x:f>IF(A12="","",XLOOKUP(A12,InputPlayers!$F$6:$F$305,InputPlayers!$G$6:$G$305,""))</x:f>
      </x:c>
      <x:c r="C12">
        <x:f>IF(A12="","",XLOOKUP(A12,InputPlayers!$F$6:$F$305,InputPlayers!$H$6:$H$305,""))</x:f>
      </x:c>
      <x:c r="D12">
        <x:f>IF(A12="","",COUNTIFS(InputPlayers!$F$6:$F$305,A12,InputPlayers!$O$6:$O$305,"Да"))</x:f>
      </x:c>
      <x:c r="E12">
        <x:f>IF(A12="","",SUMIFS(InputPlayers!$I$6:$I$305,InputPlayers!$F$6:$F$305,A12,InputPlayers!$O$6:$O$305,"Да"))</x:f>
      </x:c>
      <x:c r="F12">
        <x:f>IF(A12="","",SUMIFS(InputPlayers!$J$6:$J$305,InputPlayers!$F$6:$F$305,A12,InputPlayers!$O$6:$O$305,"Да"))</x:f>
      </x:c>
      <x:c r="G12">
        <x:f>IF(A12="","",SUMIFS(InputPlayers!$N$6:$N$305,InputPlayers!$F$6:$F$305,A12,InputPlayers!$O$6:$O$305,"Да"))</x:f>
      </x:c>
      <x:c r="H12">
        <x:f>IFERROR(G12/D12,"")</x:f>
      </x:c>
    </x:row>
    <x:row r="13">
      <x:c r="A13">
        <x:f>IF(InputPlayers!F14="","",IF(COUNTIF($A$5:A13,InputPlayers!F14)&gt;0,"",InputPlayers!F14))</x:f>
      </x:c>
      <x:c r="B13">
        <x:f>IF(A13="","",XLOOKUP(A13,InputPlayers!$F$6:$F$305,InputPlayers!$G$6:$G$305,""))</x:f>
      </x:c>
      <x:c r="C13">
        <x:f>IF(A13="","",XLOOKUP(A13,InputPlayers!$F$6:$F$305,InputPlayers!$H$6:$H$305,""))</x:f>
      </x:c>
      <x:c r="D13">
        <x:f>IF(A13="","",COUNTIFS(InputPlayers!$F$6:$F$305,A13,InputPlayers!$O$6:$O$305,"Да"))</x:f>
      </x:c>
      <x:c r="E13">
        <x:f>IF(A13="","",SUMIFS(InputPlayers!$I$6:$I$305,InputPlayers!$F$6:$F$305,A13,InputPlayers!$O$6:$O$305,"Да"))</x:f>
      </x:c>
      <x:c r="F13">
        <x:f>IF(A13="","",SUMIFS(InputPlayers!$J$6:$J$305,InputPlayers!$F$6:$F$305,A13,InputPlayers!$O$6:$O$305,"Да"))</x:f>
      </x:c>
      <x:c r="G13">
        <x:f>IF(A13="","",SUMIFS(InputPlayers!$N$6:$N$305,InputPlayers!$F$6:$F$305,A13,InputPlayers!$O$6:$O$305,"Да"))</x:f>
      </x:c>
      <x:c r="H13">
        <x:f>IFERROR(G13/D13,"")</x:f>
      </x:c>
    </x:row>
    <x:row r="14">
      <x:c r="A14">
        <x:f>IF(InputPlayers!F15="","",IF(COUNTIF($A$5:A14,InputPlayers!F15)&gt;0,"",InputPlayers!F15))</x:f>
      </x:c>
      <x:c r="B14">
        <x:f>IF(A14="","",XLOOKUP(A14,InputPlayers!$F$6:$F$305,InputPlayers!$G$6:$G$305,""))</x:f>
      </x:c>
      <x:c r="C14">
        <x:f>IF(A14="","",XLOOKUP(A14,InputPlayers!$F$6:$F$305,InputPlayers!$H$6:$H$305,""))</x:f>
      </x:c>
      <x:c r="D14">
        <x:f>IF(A14="","",COUNTIFS(InputPlayers!$F$6:$F$305,A14,InputPlayers!$O$6:$O$305,"Да"))</x:f>
      </x:c>
      <x:c r="E14">
        <x:f>IF(A14="","",SUMIFS(InputPlayers!$I$6:$I$305,InputPlayers!$F$6:$F$305,A14,InputPlayers!$O$6:$O$305,"Да"))</x:f>
      </x:c>
      <x:c r="F14">
        <x:f>IF(A14="","",SUMIFS(InputPlayers!$J$6:$J$305,InputPlayers!$F$6:$F$305,A14,InputPlayers!$O$6:$O$305,"Да"))</x:f>
      </x:c>
      <x:c r="G14">
        <x:f>IF(A14="","",SUMIFS(InputPlayers!$N$6:$N$305,InputPlayers!$F$6:$F$305,A14,InputPlayers!$O$6:$O$305,"Да"))</x:f>
      </x:c>
      <x:c r="H14">
        <x:f>IFERROR(G14/D14,"")</x:f>
      </x:c>
    </x:row>
    <x:row r="15">
      <x:c r="A15">
        <x:f>IF(InputPlayers!F16="","",IF(COUNTIF($A$5:A15,InputPlayers!F16)&gt;0,"",InputPlayers!F16))</x:f>
      </x:c>
      <x:c r="B15">
        <x:f>IF(A15="","",XLOOKUP(A15,InputPlayers!$F$6:$F$305,InputPlayers!$G$6:$G$305,""))</x:f>
      </x:c>
      <x:c r="C15">
        <x:f>IF(A15="","",XLOOKUP(A15,InputPlayers!$F$6:$F$305,InputPlayers!$H$6:$H$305,""))</x:f>
      </x:c>
      <x:c r="D15">
        <x:f>IF(A15="","",COUNTIFS(InputPlayers!$F$6:$F$305,A15,InputPlayers!$O$6:$O$305,"Да"))</x:f>
      </x:c>
      <x:c r="E15">
        <x:f>IF(A15="","",SUMIFS(InputPlayers!$I$6:$I$305,InputPlayers!$F$6:$F$305,A15,InputPlayers!$O$6:$O$305,"Да"))</x:f>
      </x:c>
      <x:c r="F15">
        <x:f>IF(A15="","",SUMIFS(InputPlayers!$J$6:$J$305,InputPlayers!$F$6:$F$305,A15,InputPlayers!$O$6:$O$305,"Да"))</x:f>
      </x:c>
      <x:c r="G15">
        <x:f>IF(A15="","",SUMIFS(InputPlayers!$N$6:$N$305,InputPlayers!$F$6:$F$305,A15,InputPlayers!$O$6:$O$305,"Да"))</x:f>
      </x:c>
      <x:c r="H15">
        <x:f>IFERROR(G15/D15,"")</x:f>
      </x:c>
    </x:row>
    <x:row r="16">
      <x:c r="A16">
        <x:f>IF(InputPlayers!F17="","",IF(COUNTIF($A$5:A16,InputPlayers!F17)&gt;0,"",InputPlayers!F17))</x:f>
      </x:c>
      <x:c r="B16">
        <x:f>IF(A16="","",XLOOKUP(A16,InputPlayers!$F$6:$F$305,InputPlayers!$G$6:$G$305,""))</x:f>
      </x:c>
      <x:c r="C16">
        <x:f>IF(A16="","",XLOOKUP(A16,InputPlayers!$F$6:$F$305,InputPlayers!$H$6:$H$305,""))</x:f>
      </x:c>
      <x:c r="D16">
        <x:f>IF(A16="","",COUNTIFS(InputPlayers!$F$6:$F$305,A16,InputPlayers!$O$6:$O$305,"Да"))</x:f>
      </x:c>
      <x:c r="E16">
        <x:f>IF(A16="","",SUMIFS(InputPlayers!$I$6:$I$305,InputPlayers!$F$6:$F$305,A16,InputPlayers!$O$6:$O$305,"Да"))</x:f>
      </x:c>
      <x:c r="F16">
        <x:f>IF(A16="","",SUMIFS(InputPlayers!$J$6:$J$305,InputPlayers!$F$6:$F$305,A16,InputPlayers!$O$6:$O$305,"Да"))</x:f>
      </x:c>
      <x:c r="G16">
        <x:f>IF(A16="","",SUMIFS(InputPlayers!$N$6:$N$305,InputPlayers!$F$6:$F$305,A16,InputPlayers!$O$6:$O$305,"Да"))</x:f>
      </x:c>
      <x:c r="H16">
        <x:f>IFERROR(G16/D16,"")</x:f>
      </x:c>
    </x:row>
    <x:row r="17">
      <x:c r="A17">
        <x:f>IF(InputPlayers!F18="","",IF(COUNTIF($A$5:A17,InputPlayers!F18)&gt;0,"",InputPlayers!F18))</x:f>
      </x:c>
      <x:c r="B17">
        <x:f>IF(A17="","",XLOOKUP(A17,InputPlayers!$F$6:$F$305,InputPlayers!$G$6:$G$305,""))</x:f>
      </x:c>
      <x:c r="C17">
        <x:f>IF(A17="","",XLOOKUP(A17,InputPlayers!$F$6:$F$305,InputPlayers!$H$6:$H$305,""))</x:f>
      </x:c>
      <x:c r="D17">
        <x:f>IF(A17="","",COUNTIFS(InputPlayers!$F$6:$F$305,A17,InputPlayers!$O$6:$O$305,"Да"))</x:f>
      </x:c>
      <x:c r="E17">
        <x:f>IF(A17="","",SUMIFS(InputPlayers!$I$6:$I$305,InputPlayers!$F$6:$F$305,A17,InputPlayers!$O$6:$O$305,"Да"))</x:f>
      </x:c>
      <x:c r="F17">
        <x:f>IF(A17="","",SUMIFS(InputPlayers!$J$6:$J$305,InputPlayers!$F$6:$F$305,A17,InputPlayers!$O$6:$O$305,"Да"))</x:f>
      </x:c>
      <x:c r="G17">
        <x:f>IF(A17="","",SUMIFS(InputPlayers!$N$6:$N$305,InputPlayers!$F$6:$F$305,A17,InputPlayers!$O$6:$O$305,"Да"))</x:f>
      </x:c>
      <x:c r="H17">
        <x:f>IFERROR(G17/D17,"")</x:f>
      </x:c>
    </x:row>
    <x:row r="18">
      <x:c r="A18">
        <x:f>IF(InputPlayers!F19="","",IF(COUNTIF($A$5:A18,InputPlayers!F19)&gt;0,"",InputPlayers!F19))</x:f>
      </x:c>
      <x:c r="B18">
        <x:f>IF(A18="","",XLOOKUP(A18,InputPlayers!$F$6:$F$305,InputPlayers!$G$6:$G$305,""))</x:f>
      </x:c>
      <x:c r="C18">
        <x:f>IF(A18="","",XLOOKUP(A18,InputPlayers!$F$6:$F$305,InputPlayers!$H$6:$H$305,""))</x:f>
      </x:c>
      <x:c r="D18">
        <x:f>IF(A18="","",COUNTIFS(InputPlayers!$F$6:$F$305,A18,InputPlayers!$O$6:$O$305,"Да"))</x:f>
      </x:c>
      <x:c r="E18">
        <x:f>IF(A18="","",SUMIFS(InputPlayers!$I$6:$I$305,InputPlayers!$F$6:$F$305,A18,InputPlayers!$O$6:$O$305,"Да"))</x:f>
      </x:c>
      <x:c r="F18">
        <x:f>IF(A18="","",SUMIFS(InputPlayers!$J$6:$J$305,InputPlayers!$F$6:$F$305,A18,InputPlayers!$O$6:$O$305,"Да"))</x:f>
      </x:c>
      <x:c r="G18">
        <x:f>IF(A18="","",SUMIFS(InputPlayers!$N$6:$N$305,InputPlayers!$F$6:$F$305,A18,InputPlayers!$O$6:$O$305,"Да"))</x:f>
      </x:c>
      <x:c r="H18">
        <x:f>IFERROR(G18/D18,"")</x:f>
      </x:c>
    </x:row>
    <x:row r="19">
      <x:c r="A19">
        <x:f>IF(InputPlayers!F20="","",IF(COUNTIF($A$5:A19,InputPlayers!F20)&gt;0,"",InputPlayers!F20))</x:f>
      </x:c>
      <x:c r="B19">
        <x:f>IF(A19="","",XLOOKUP(A19,InputPlayers!$F$6:$F$305,InputPlayers!$G$6:$G$305,""))</x:f>
      </x:c>
      <x:c r="C19">
        <x:f>IF(A19="","",XLOOKUP(A19,InputPlayers!$F$6:$F$305,InputPlayers!$H$6:$H$305,""))</x:f>
      </x:c>
      <x:c r="D19">
        <x:f>IF(A19="","",COUNTIFS(InputPlayers!$F$6:$F$305,A19,InputPlayers!$O$6:$O$305,"Да"))</x:f>
      </x:c>
      <x:c r="E19">
        <x:f>IF(A19="","",SUMIFS(InputPlayers!$I$6:$I$305,InputPlayers!$F$6:$F$305,A19,InputPlayers!$O$6:$O$305,"Да"))</x:f>
      </x:c>
      <x:c r="F19">
        <x:f>IF(A19="","",SUMIFS(InputPlayers!$J$6:$J$305,InputPlayers!$F$6:$F$305,A19,InputPlayers!$O$6:$O$305,"Да"))</x:f>
      </x:c>
      <x:c r="G19">
        <x:f>IF(A19="","",SUMIFS(InputPlayers!$N$6:$N$305,InputPlayers!$F$6:$F$305,A19,InputPlayers!$O$6:$O$305,"Да"))</x:f>
      </x:c>
      <x:c r="H19">
        <x:f>IFERROR(G19/D19,"")</x:f>
      </x:c>
    </x:row>
    <x:row r="20">
      <x:c r="A20">
        <x:f>IF(InputPlayers!F21="","",IF(COUNTIF($A$5:A20,InputPlayers!F21)&gt;0,"",InputPlayers!F21))</x:f>
      </x:c>
      <x:c r="B20">
        <x:f>IF(A20="","",XLOOKUP(A20,InputPlayers!$F$6:$F$305,InputPlayers!$G$6:$G$305,""))</x:f>
      </x:c>
      <x:c r="C20">
        <x:f>IF(A20="","",XLOOKUP(A20,InputPlayers!$F$6:$F$305,InputPlayers!$H$6:$H$305,""))</x:f>
      </x:c>
      <x:c r="D20">
        <x:f>IF(A20="","",COUNTIFS(InputPlayers!$F$6:$F$305,A20,InputPlayers!$O$6:$O$305,"Да"))</x:f>
      </x:c>
      <x:c r="E20">
        <x:f>IF(A20="","",SUMIFS(InputPlayers!$I$6:$I$305,InputPlayers!$F$6:$F$305,A20,InputPlayers!$O$6:$O$305,"Да"))</x:f>
      </x:c>
      <x:c r="F20">
        <x:f>IF(A20="","",SUMIFS(InputPlayers!$J$6:$J$305,InputPlayers!$F$6:$F$305,A20,InputPlayers!$O$6:$O$305,"Да"))</x:f>
      </x:c>
      <x:c r="G20">
        <x:f>IF(A20="","",SUMIFS(InputPlayers!$N$6:$N$305,InputPlayers!$F$6:$F$305,A20,InputPlayers!$O$6:$O$305,"Да"))</x:f>
      </x:c>
      <x:c r="H20">
        <x:f>IFERROR(G20/D20,"")</x:f>
      </x:c>
    </x:row>
    <x:row r="21">
      <x:c r="A21">
        <x:f>IF(InputPlayers!F22="","",IF(COUNTIF($A$5:A21,InputPlayers!F22)&gt;0,"",InputPlayers!F22))</x:f>
      </x:c>
      <x:c r="B21">
        <x:f>IF(A21="","",XLOOKUP(A21,InputPlayers!$F$6:$F$305,InputPlayers!$G$6:$G$305,""))</x:f>
      </x:c>
      <x:c r="C21">
        <x:f>IF(A21="","",XLOOKUP(A21,InputPlayers!$F$6:$F$305,InputPlayers!$H$6:$H$305,""))</x:f>
      </x:c>
      <x:c r="D21">
        <x:f>IF(A21="","",COUNTIFS(InputPlayers!$F$6:$F$305,A21,InputPlayers!$O$6:$O$305,"Да"))</x:f>
      </x:c>
      <x:c r="E21">
        <x:f>IF(A21="","",SUMIFS(InputPlayers!$I$6:$I$305,InputPlayers!$F$6:$F$305,A21,InputPlayers!$O$6:$O$305,"Да"))</x:f>
      </x:c>
      <x:c r="F21">
        <x:f>IF(A21="","",SUMIFS(InputPlayers!$J$6:$J$305,InputPlayers!$F$6:$F$305,A21,InputPlayers!$O$6:$O$305,"Да"))</x:f>
      </x:c>
      <x:c r="G21">
        <x:f>IF(A21="","",SUMIFS(InputPlayers!$N$6:$N$305,InputPlayers!$F$6:$F$305,A21,InputPlayers!$O$6:$O$305,"Да"))</x:f>
      </x:c>
      <x:c r="H21">
        <x:f>IFERROR(G21/D21,"")</x:f>
      </x:c>
    </x:row>
    <x:row r="22">
      <x:c r="A22">
        <x:f>IF(InputPlayers!F23="","",IF(COUNTIF($A$5:A22,InputPlayers!F23)&gt;0,"",InputPlayers!F23))</x:f>
      </x:c>
      <x:c r="B22">
        <x:f>IF(A22="","",XLOOKUP(A22,InputPlayers!$F$6:$F$305,InputPlayers!$G$6:$G$305,""))</x:f>
      </x:c>
      <x:c r="C22">
        <x:f>IF(A22="","",XLOOKUP(A22,InputPlayers!$F$6:$F$305,InputPlayers!$H$6:$H$305,""))</x:f>
      </x:c>
      <x:c r="D22">
        <x:f>IF(A22="","",COUNTIFS(InputPlayers!$F$6:$F$305,A22,InputPlayers!$O$6:$O$305,"Да"))</x:f>
      </x:c>
      <x:c r="E22">
        <x:f>IF(A22="","",SUMIFS(InputPlayers!$I$6:$I$305,InputPlayers!$F$6:$F$305,A22,InputPlayers!$O$6:$O$305,"Да"))</x:f>
      </x:c>
      <x:c r="F22">
        <x:f>IF(A22="","",SUMIFS(InputPlayers!$J$6:$J$305,InputPlayers!$F$6:$F$305,A22,InputPlayers!$O$6:$O$305,"Да"))</x:f>
      </x:c>
      <x:c r="G22">
        <x:f>IF(A22="","",SUMIFS(InputPlayers!$N$6:$N$305,InputPlayers!$F$6:$F$305,A22,InputPlayers!$O$6:$O$305,"Да"))</x:f>
      </x:c>
      <x:c r="H22">
        <x:f>IFERROR(G22/D22,"")</x:f>
      </x:c>
    </x:row>
    <x:row r="23">
      <x:c r="A23">
        <x:f>IF(InputPlayers!F24="","",IF(COUNTIF($A$5:A23,InputPlayers!F24)&gt;0,"",InputPlayers!F24))</x:f>
      </x:c>
      <x:c r="B23">
        <x:f>IF(A23="","",XLOOKUP(A23,InputPlayers!$F$6:$F$305,InputPlayers!$G$6:$G$305,""))</x:f>
      </x:c>
      <x:c r="C23">
        <x:f>IF(A23="","",XLOOKUP(A23,InputPlayers!$F$6:$F$305,InputPlayers!$H$6:$H$305,""))</x:f>
      </x:c>
      <x:c r="D23">
        <x:f>IF(A23="","",COUNTIFS(InputPlayers!$F$6:$F$305,A23,InputPlayers!$O$6:$O$305,"Да"))</x:f>
      </x:c>
      <x:c r="E23">
        <x:f>IF(A23="","",SUMIFS(InputPlayers!$I$6:$I$305,InputPlayers!$F$6:$F$305,A23,InputPlayers!$O$6:$O$305,"Да"))</x:f>
      </x:c>
      <x:c r="F23">
        <x:f>IF(A23="","",SUMIFS(InputPlayers!$J$6:$J$305,InputPlayers!$F$6:$F$305,A23,InputPlayers!$O$6:$O$305,"Да"))</x:f>
      </x:c>
      <x:c r="G23">
        <x:f>IF(A23="","",SUMIFS(InputPlayers!$N$6:$N$305,InputPlayers!$F$6:$F$305,A23,InputPlayers!$O$6:$O$305,"Да"))</x:f>
      </x:c>
      <x:c r="H23">
        <x:f>IFERROR(G23/D23,"")</x:f>
      </x:c>
    </x:row>
    <x:row r="24">
      <x:c r="A24">
        <x:f>IF(InputPlayers!F25="","",IF(COUNTIF($A$5:A24,InputPlayers!F25)&gt;0,"",InputPlayers!F25))</x:f>
      </x:c>
      <x:c r="B24">
        <x:f>IF(A24="","",XLOOKUP(A24,InputPlayers!$F$6:$F$305,InputPlayers!$G$6:$G$305,""))</x:f>
      </x:c>
      <x:c r="C24">
        <x:f>IF(A24="","",XLOOKUP(A24,InputPlayers!$F$6:$F$305,InputPlayers!$H$6:$H$305,""))</x:f>
      </x:c>
      <x:c r="D24">
        <x:f>IF(A24="","",COUNTIFS(InputPlayers!$F$6:$F$305,A24,InputPlayers!$O$6:$O$305,"Да"))</x:f>
      </x:c>
      <x:c r="E24">
        <x:f>IF(A24="","",SUMIFS(InputPlayers!$I$6:$I$305,InputPlayers!$F$6:$F$305,A24,InputPlayers!$O$6:$O$305,"Да"))</x:f>
      </x:c>
      <x:c r="F24">
        <x:f>IF(A24="","",SUMIFS(InputPlayers!$J$6:$J$305,InputPlayers!$F$6:$F$305,A24,InputPlayers!$O$6:$O$305,"Да"))</x:f>
      </x:c>
      <x:c r="G24">
        <x:f>IF(A24="","",SUMIFS(InputPlayers!$N$6:$N$305,InputPlayers!$F$6:$F$305,A24,InputPlayers!$O$6:$O$305,"Да"))</x:f>
      </x:c>
      <x:c r="H24">
        <x:f>IFERROR(G24/D24,"")</x:f>
      </x:c>
    </x:row>
    <x:row r="25">
      <x:c r="A25">
        <x:f>IF(InputPlayers!F26="","",IF(COUNTIF($A$5:A25,InputPlayers!F26)&gt;0,"",InputPlayers!F26))</x:f>
      </x:c>
      <x:c r="B25">
        <x:f>IF(A25="","",XLOOKUP(A25,InputPlayers!$F$6:$F$305,InputPlayers!$G$6:$G$305,""))</x:f>
      </x:c>
      <x:c r="C25">
        <x:f>IF(A25="","",XLOOKUP(A25,InputPlayers!$F$6:$F$305,InputPlayers!$H$6:$H$305,""))</x:f>
      </x:c>
      <x:c r="D25">
        <x:f>IF(A25="","",COUNTIFS(InputPlayers!$F$6:$F$305,A25,InputPlayers!$O$6:$O$305,"Да"))</x:f>
      </x:c>
      <x:c r="E25">
        <x:f>IF(A25="","",SUMIFS(InputPlayers!$I$6:$I$305,InputPlayers!$F$6:$F$305,A25,InputPlayers!$O$6:$O$305,"Да"))</x:f>
      </x:c>
      <x:c r="F25">
        <x:f>IF(A25="","",SUMIFS(InputPlayers!$J$6:$J$305,InputPlayers!$F$6:$F$305,A25,InputPlayers!$O$6:$O$305,"Да"))</x:f>
      </x:c>
      <x:c r="G25">
        <x:f>IF(A25="","",SUMIFS(InputPlayers!$N$6:$N$305,InputPlayers!$F$6:$F$305,A25,InputPlayers!$O$6:$O$305,"Да"))</x:f>
      </x:c>
      <x:c r="H25">
        <x:f>IFERROR(G25/D25,"")</x:f>
      </x:c>
    </x:row>
    <x:row r="26">
      <x:c r="A26">
        <x:f>IF(InputPlayers!F27="","",IF(COUNTIF($A$5:A26,InputPlayers!F27)&gt;0,"",InputPlayers!F27))</x:f>
      </x:c>
      <x:c r="B26">
        <x:f>IF(A26="","",XLOOKUP(A26,InputPlayers!$F$6:$F$305,InputPlayers!$G$6:$G$305,""))</x:f>
      </x:c>
      <x:c r="C26">
        <x:f>IF(A26="","",XLOOKUP(A26,InputPlayers!$F$6:$F$305,InputPlayers!$H$6:$H$305,""))</x:f>
      </x:c>
      <x:c r="D26">
        <x:f>IF(A26="","",COUNTIFS(InputPlayers!$F$6:$F$305,A26,InputPlayers!$O$6:$O$305,"Да"))</x:f>
      </x:c>
      <x:c r="E26">
        <x:f>IF(A26="","",SUMIFS(InputPlayers!$I$6:$I$305,InputPlayers!$F$6:$F$305,A26,InputPlayers!$O$6:$O$305,"Да"))</x:f>
      </x:c>
      <x:c r="F26">
        <x:f>IF(A26="","",SUMIFS(InputPlayers!$J$6:$J$305,InputPlayers!$F$6:$F$305,A26,InputPlayers!$O$6:$O$305,"Да"))</x:f>
      </x:c>
      <x:c r="G26">
        <x:f>IF(A26="","",SUMIFS(InputPlayers!$N$6:$N$305,InputPlayers!$F$6:$F$305,A26,InputPlayers!$O$6:$O$305,"Да"))</x:f>
      </x:c>
      <x:c r="H26">
        <x:f>IFERROR(G26/D26,"")</x:f>
      </x:c>
    </x:row>
    <x:row r="27">
      <x:c r="A27">
        <x:f>IF(InputPlayers!F28="","",IF(COUNTIF($A$5:A27,InputPlayers!F28)&gt;0,"",InputPlayers!F28))</x:f>
      </x:c>
      <x:c r="B27">
        <x:f>IF(A27="","",XLOOKUP(A27,InputPlayers!$F$6:$F$305,InputPlayers!$G$6:$G$305,""))</x:f>
      </x:c>
      <x:c r="C27">
        <x:f>IF(A27="","",XLOOKUP(A27,InputPlayers!$F$6:$F$305,InputPlayers!$H$6:$H$305,""))</x:f>
      </x:c>
      <x:c r="D27">
        <x:f>IF(A27="","",COUNTIFS(InputPlayers!$F$6:$F$305,A27,InputPlayers!$O$6:$O$305,"Да"))</x:f>
      </x:c>
      <x:c r="E27">
        <x:f>IF(A27="","",SUMIFS(InputPlayers!$I$6:$I$305,InputPlayers!$F$6:$F$305,A27,InputPlayers!$O$6:$O$305,"Да"))</x:f>
      </x:c>
      <x:c r="F27">
        <x:f>IF(A27="","",SUMIFS(InputPlayers!$J$6:$J$305,InputPlayers!$F$6:$F$305,A27,InputPlayers!$O$6:$O$305,"Да"))</x:f>
      </x:c>
      <x:c r="G27">
        <x:f>IF(A27="","",SUMIFS(InputPlayers!$N$6:$N$305,InputPlayers!$F$6:$F$305,A27,InputPlayers!$O$6:$O$305,"Да"))</x:f>
      </x:c>
      <x:c r="H27">
        <x:f>IFERROR(G27/D27,"")</x:f>
      </x:c>
    </x:row>
    <x:row r="28">
      <x:c r="A28">
        <x:f>IF(InputPlayers!F29="","",IF(COUNTIF($A$5:A28,InputPlayers!F29)&gt;0,"",InputPlayers!F29))</x:f>
      </x:c>
      <x:c r="B28">
        <x:f>IF(A28="","",XLOOKUP(A28,InputPlayers!$F$6:$F$305,InputPlayers!$G$6:$G$305,""))</x:f>
      </x:c>
      <x:c r="C28">
        <x:f>IF(A28="","",XLOOKUP(A28,InputPlayers!$F$6:$F$305,InputPlayers!$H$6:$H$305,""))</x:f>
      </x:c>
      <x:c r="D28">
        <x:f>IF(A28="","",COUNTIFS(InputPlayers!$F$6:$F$305,A28,InputPlayers!$O$6:$O$305,"Да"))</x:f>
      </x:c>
      <x:c r="E28">
        <x:f>IF(A28="","",SUMIFS(InputPlayers!$I$6:$I$305,InputPlayers!$F$6:$F$305,A28,InputPlayers!$O$6:$O$305,"Да"))</x:f>
      </x:c>
      <x:c r="F28">
        <x:f>IF(A28="","",SUMIFS(InputPlayers!$J$6:$J$305,InputPlayers!$F$6:$F$305,A28,InputPlayers!$O$6:$O$305,"Да"))</x:f>
      </x:c>
      <x:c r="G28">
        <x:f>IF(A28="","",SUMIFS(InputPlayers!$N$6:$N$305,InputPlayers!$F$6:$F$305,A28,InputPlayers!$O$6:$O$305,"Да"))</x:f>
      </x:c>
      <x:c r="H28">
        <x:f>IFERROR(G28/D28,"")</x:f>
      </x:c>
    </x:row>
    <x:row r="29">
      <x:c r="A29">
        <x:f>IF(InputPlayers!F30="","",IF(COUNTIF($A$5:A29,InputPlayers!F30)&gt;0,"",InputPlayers!F30))</x:f>
      </x:c>
      <x:c r="B29">
        <x:f>IF(A29="","",XLOOKUP(A29,InputPlayers!$F$6:$F$305,InputPlayers!$G$6:$G$305,""))</x:f>
      </x:c>
      <x:c r="C29">
        <x:f>IF(A29="","",XLOOKUP(A29,InputPlayers!$F$6:$F$305,InputPlayers!$H$6:$H$305,""))</x:f>
      </x:c>
      <x:c r="D29">
        <x:f>IF(A29="","",COUNTIFS(InputPlayers!$F$6:$F$305,A29,InputPlayers!$O$6:$O$305,"Да"))</x:f>
      </x:c>
      <x:c r="E29">
        <x:f>IF(A29="","",SUMIFS(InputPlayers!$I$6:$I$305,InputPlayers!$F$6:$F$305,A29,InputPlayers!$O$6:$O$305,"Да"))</x:f>
      </x:c>
      <x:c r="F29">
        <x:f>IF(A29="","",SUMIFS(InputPlayers!$J$6:$J$305,InputPlayers!$F$6:$F$305,A29,InputPlayers!$O$6:$O$305,"Да"))</x:f>
      </x:c>
      <x:c r="G29">
        <x:f>IF(A29="","",SUMIFS(InputPlayers!$N$6:$N$305,InputPlayers!$F$6:$F$305,A29,InputPlayers!$O$6:$O$305,"Да"))</x:f>
      </x:c>
      <x:c r="H29">
        <x:f>IFERROR(G29/D29,"")</x:f>
      </x:c>
    </x:row>
    <x:row r="30">
      <x:c r="A30">
        <x:f>IF(InputPlayers!F31="","",IF(COUNTIF($A$5:A30,InputPlayers!F31)&gt;0,"",InputPlayers!F31))</x:f>
      </x:c>
      <x:c r="B30">
        <x:f>IF(A30="","",XLOOKUP(A30,InputPlayers!$F$6:$F$305,InputPlayers!$G$6:$G$305,""))</x:f>
      </x:c>
      <x:c r="C30">
        <x:f>IF(A30="","",XLOOKUP(A30,InputPlayers!$F$6:$F$305,InputPlayers!$H$6:$H$305,""))</x:f>
      </x:c>
      <x:c r="D30">
        <x:f>IF(A30="","",COUNTIFS(InputPlayers!$F$6:$F$305,A30,InputPlayers!$O$6:$O$305,"Да"))</x:f>
      </x:c>
      <x:c r="E30">
        <x:f>IF(A30="","",SUMIFS(InputPlayers!$I$6:$I$305,InputPlayers!$F$6:$F$305,A30,InputPlayers!$O$6:$O$305,"Да"))</x:f>
      </x:c>
      <x:c r="F30">
        <x:f>IF(A30="","",SUMIFS(InputPlayers!$J$6:$J$305,InputPlayers!$F$6:$F$305,A30,InputPlayers!$O$6:$O$305,"Да"))</x:f>
      </x:c>
      <x:c r="G30">
        <x:f>IF(A30="","",SUMIFS(InputPlayers!$N$6:$N$305,InputPlayers!$F$6:$F$305,A30,InputPlayers!$O$6:$O$305,"Да"))</x:f>
      </x:c>
      <x:c r="H30">
        <x:f>IFERROR(G30/D30,"")</x:f>
      </x:c>
    </x:row>
    <x:row r="31">
      <x:c r="A31">
        <x:f>IF(InputPlayers!F32="","",IF(COUNTIF($A$5:A31,InputPlayers!F32)&gt;0,"",InputPlayers!F32))</x:f>
      </x:c>
      <x:c r="B31">
        <x:f>IF(A31="","",XLOOKUP(A31,InputPlayers!$F$6:$F$305,InputPlayers!$G$6:$G$305,""))</x:f>
      </x:c>
      <x:c r="C31">
        <x:f>IF(A31="","",XLOOKUP(A31,InputPlayers!$F$6:$F$305,InputPlayers!$H$6:$H$305,""))</x:f>
      </x:c>
      <x:c r="D31">
        <x:f>IF(A31="","",COUNTIFS(InputPlayers!$F$6:$F$305,A31,InputPlayers!$O$6:$O$305,"Да"))</x:f>
      </x:c>
      <x:c r="E31">
        <x:f>IF(A31="","",SUMIFS(InputPlayers!$I$6:$I$305,InputPlayers!$F$6:$F$305,A31,InputPlayers!$O$6:$O$305,"Да"))</x:f>
      </x:c>
      <x:c r="F31">
        <x:f>IF(A31="","",SUMIFS(InputPlayers!$J$6:$J$305,InputPlayers!$F$6:$F$305,A31,InputPlayers!$O$6:$O$305,"Да"))</x:f>
      </x:c>
      <x:c r="G31">
        <x:f>IF(A31="","",SUMIFS(InputPlayers!$N$6:$N$305,InputPlayers!$F$6:$F$305,A31,InputPlayers!$O$6:$O$305,"Да"))</x:f>
      </x:c>
      <x:c r="H31">
        <x:f>IFERROR(G31/D31,"")</x:f>
      </x:c>
    </x:row>
    <x:row r="32">
      <x:c r="A32">
        <x:f>IF(InputPlayers!F33="","",IF(COUNTIF($A$5:A32,InputPlayers!F33)&gt;0,"",InputPlayers!F33))</x:f>
      </x:c>
      <x:c r="B32">
        <x:f>IF(A32="","",XLOOKUP(A32,InputPlayers!$F$6:$F$305,InputPlayers!$G$6:$G$305,""))</x:f>
      </x:c>
      <x:c r="C32">
        <x:f>IF(A32="","",XLOOKUP(A32,InputPlayers!$F$6:$F$305,InputPlayers!$H$6:$H$305,""))</x:f>
      </x:c>
      <x:c r="D32">
        <x:f>IF(A32="","",COUNTIFS(InputPlayers!$F$6:$F$305,A32,InputPlayers!$O$6:$O$305,"Да"))</x:f>
      </x:c>
      <x:c r="E32">
        <x:f>IF(A32="","",SUMIFS(InputPlayers!$I$6:$I$305,InputPlayers!$F$6:$F$305,A32,InputPlayers!$O$6:$O$305,"Да"))</x:f>
      </x:c>
      <x:c r="F32">
        <x:f>IF(A32="","",SUMIFS(InputPlayers!$J$6:$J$305,InputPlayers!$F$6:$F$305,A32,InputPlayers!$O$6:$O$305,"Да"))</x:f>
      </x:c>
      <x:c r="G32">
        <x:f>IF(A32="","",SUMIFS(InputPlayers!$N$6:$N$305,InputPlayers!$F$6:$F$305,A32,InputPlayers!$O$6:$O$305,"Да"))</x:f>
      </x:c>
      <x:c r="H32">
        <x:f>IFERROR(G32/D32,"")</x:f>
      </x:c>
    </x:row>
    <x:row r="33">
      <x:c r="A33">
        <x:f>IF(InputPlayers!F34="","",IF(COUNTIF($A$5:A33,InputPlayers!F34)&gt;0,"",InputPlayers!F34))</x:f>
      </x:c>
      <x:c r="B33">
        <x:f>IF(A33="","",XLOOKUP(A33,InputPlayers!$F$6:$F$305,InputPlayers!$G$6:$G$305,""))</x:f>
      </x:c>
      <x:c r="C33">
        <x:f>IF(A33="","",XLOOKUP(A33,InputPlayers!$F$6:$F$305,InputPlayers!$H$6:$H$305,""))</x:f>
      </x:c>
      <x:c r="D33">
        <x:f>IF(A33="","",COUNTIFS(InputPlayers!$F$6:$F$305,A33,InputPlayers!$O$6:$O$305,"Да"))</x:f>
      </x:c>
      <x:c r="E33">
        <x:f>IF(A33="","",SUMIFS(InputPlayers!$I$6:$I$305,InputPlayers!$F$6:$F$305,A33,InputPlayers!$O$6:$O$305,"Да"))</x:f>
      </x:c>
      <x:c r="F33">
        <x:f>IF(A33="","",SUMIFS(InputPlayers!$J$6:$J$305,InputPlayers!$F$6:$F$305,A33,InputPlayers!$O$6:$O$305,"Да"))</x:f>
      </x:c>
      <x:c r="G33">
        <x:f>IF(A33="","",SUMIFS(InputPlayers!$N$6:$N$305,InputPlayers!$F$6:$F$305,A33,InputPlayers!$O$6:$O$305,"Да"))</x:f>
      </x:c>
      <x:c r="H33">
        <x:f>IFERROR(G33/D33,"")</x:f>
      </x:c>
    </x:row>
    <x:row r="34">
      <x:c r="A34">
        <x:f>IF(InputPlayers!F35="","",IF(COUNTIF($A$5:A34,InputPlayers!F35)&gt;0,"",InputPlayers!F35))</x:f>
      </x:c>
      <x:c r="B34">
        <x:f>IF(A34="","",XLOOKUP(A34,InputPlayers!$F$6:$F$305,InputPlayers!$G$6:$G$305,""))</x:f>
      </x:c>
      <x:c r="C34">
        <x:f>IF(A34="","",XLOOKUP(A34,InputPlayers!$F$6:$F$305,InputPlayers!$H$6:$H$305,""))</x:f>
      </x:c>
      <x:c r="D34">
        <x:f>IF(A34="","",COUNTIFS(InputPlayers!$F$6:$F$305,A34,InputPlayers!$O$6:$O$305,"Да"))</x:f>
      </x:c>
      <x:c r="E34">
        <x:f>IF(A34="","",SUMIFS(InputPlayers!$I$6:$I$305,InputPlayers!$F$6:$F$305,A34,InputPlayers!$O$6:$O$305,"Да"))</x:f>
      </x:c>
      <x:c r="F34">
        <x:f>IF(A34="","",SUMIFS(InputPlayers!$J$6:$J$305,InputPlayers!$F$6:$F$305,A34,InputPlayers!$O$6:$O$305,"Да"))</x:f>
      </x:c>
      <x:c r="G34">
        <x:f>IF(A34="","",SUMIFS(InputPlayers!$N$6:$N$305,InputPlayers!$F$6:$F$305,A34,InputPlayers!$O$6:$O$305,"Да"))</x:f>
      </x:c>
      <x:c r="H34">
        <x:f>IFERROR(G34/D34,"")</x:f>
      </x:c>
    </x:row>
    <x:row r="35">
      <x:c r="A35">
        <x:f>IF(InputPlayers!F36="","",IF(COUNTIF($A$5:A35,InputPlayers!F36)&gt;0,"",InputPlayers!F36))</x:f>
      </x:c>
      <x:c r="B35">
        <x:f>IF(A35="","",XLOOKUP(A35,InputPlayers!$F$6:$F$305,InputPlayers!$G$6:$G$305,""))</x:f>
      </x:c>
      <x:c r="C35">
        <x:f>IF(A35="","",XLOOKUP(A35,InputPlayers!$F$6:$F$305,InputPlayers!$H$6:$H$305,""))</x:f>
      </x:c>
      <x:c r="D35">
        <x:f>IF(A35="","",COUNTIFS(InputPlayers!$F$6:$F$305,A35,InputPlayers!$O$6:$O$305,"Да"))</x:f>
      </x:c>
      <x:c r="E35">
        <x:f>IF(A35="","",SUMIFS(InputPlayers!$I$6:$I$305,InputPlayers!$F$6:$F$305,A35,InputPlayers!$O$6:$O$305,"Да"))</x:f>
      </x:c>
      <x:c r="F35">
        <x:f>IF(A35="","",SUMIFS(InputPlayers!$J$6:$J$305,InputPlayers!$F$6:$F$305,A35,InputPlayers!$O$6:$O$305,"Да"))</x:f>
      </x:c>
      <x:c r="G35">
        <x:f>IF(A35="","",SUMIFS(InputPlayers!$N$6:$N$305,InputPlayers!$F$6:$F$305,A35,InputPlayers!$O$6:$O$305,"Да"))</x:f>
      </x:c>
      <x:c r="H35">
        <x:f>IFERROR(G35/D35,"")</x:f>
      </x:c>
    </x:row>
    <x:row r="36">
      <x:c r="A36">
        <x:f>IF(InputPlayers!F37="","",IF(COUNTIF($A$5:A36,InputPlayers!F37)&gt;0,"",InputPlayers!F37))</x:f>
      </x:c>
      <x:c r="B36">
        <x:f>IF(A36="","",XLOOKUP(A36,InputPlayers!$F$6:$F$305,InputPlayers!$G$6:$G$305,""))</x:f>
      </x:c>
      <x:c r="C36">
        <x:f>IF(A36="","",XLOOKUP(A36,InputPlayers!$F$6:$F$305,InputPlayers!$H$6:$H$305,""))</x:f>
      </x:c>
      <x:c r="D36">
        <x:f>IF(A36="","",COUNTIFS(InputPlayers!$F$6:$F$305,A36,InputPlayers!$O$6:$O$305,"Да"))</x:f>
      </x:c>
      <x:c r="E36">
        <x:f>IF(A36="","",SUMIFS(InputPlayers!$I$6:$I$305,InputPlayers!$F$6:$F$305,A36,InputPlayers!$O$6:$O$305,"Да"))</x:f>
      </x:c>
      <x:c r="F36">
        <x:f>IF(A36="","",SUMIFS(InputPlayers!$J$6:$J$305,InputPlayers!$F$6:$F$305,A36,InputPlayers!$O$6:$O$305,"Да"))</x:f>
      </x:c>
      <x:c r="G36">
        <x:f>IF(A36="","",SUMIFS(InputPlayers!$N$6:$N$305,InputPlayers!$F$6:$F$305,A36,InputPlayers!$O$6:$O$305,"Да"))</x:f>
      </x:c>
      <x:c r="H36">
        <x:f>IFERROR(G36/D36,"")</x:f>
      </x:c>
    </x:row>
    <x:row r="37">
      <x:c r="A37">
        <x:f>IF(InputPlayers!F38="","",IF(COUNTIF($A$5:A37,InputPlayers!F38)&gt;0,"",InputPlayers!F38))</x:f>
      </x:c>
      <x:c r="B37">
        <x:f>IF(A37="","",XLOOKUP(A37,InputPlayers!$F$6:$F$305,InputPlayers!$G$6:$G$305,""))</x:f>
      </x:c>
      <x:c r="C37">
        <x:f>IF(A37="","",XLOOKUP(A37,InputPlayers!$F$6:$F$305,InputPlayers!$H$6:$H$305,""))</x:f>
      </x:c>
      <x:c r="D37">
        <x:f>IF(A37="","",COUNTIFS(InputPlayers!$F$6:$F$305,A37,InputPlayers!$O$6:$O$305,"Да"))</x:f>
      </x:c>
      <x:c r="E37">
        <x:f>IF(A37="","",SUMIFS(InputPlayers!$I$6:$I$305,InputPlayers!$F$6:$F$305,A37,InputPlayers!$O$6:$O$305,"Да"))</x:f>
      </x:c>
      <x:c r="F37">
        <x:f>IF(A37="","",SUMIFS(InputPlayers!$J$6:$J$305,InputPlayers!$F$6:$F$305,A37,InputPlayers!$O$6:$O$305,"Да"))</x:f>
      </x:c>
      <x:c r="G37">
        <x:f>IF(A37="","",SUMIFS(InputPlayers!$N$6:$N$305,InputPlayers!$F$6:$F$305,A37,InputPlayers!$O$6:$O$305,"Да"))</x:f>
      </x:c>
      <x:c r="H37">
        <x:f>IFERROR(G37/D37,"")</x:f>
      </x:c>
    </x:row>
    <x:row r="38">
      <x:c r="A38">
        <x:f>IF(InputPlayers!F39="","",IF(COUNTIF($A$5:A38,InputPlayers!F39)&gt;0,"",InputPlayers!F39))</x:f>
      </x:c>
      <x:c r="B38">
        <x:f>IF(A38="","",XLOOKUP(A38,InputPlayers!$F$6:$F$305,InputPlayers!$G$6:$G$305,""))</x:f>
      </x:c>
      <x:c r="C38">
        <x:f>IF(A38="","",XLOOKUP(A38,InputPlayers!$F$6:$F$305,InputPlayers!$H$6:$H$305,""))</x:f>
      </x:c>
      <x:c r="D38">
        <x:f>IF(A38="","",COUNTIFS(InputPlayers!$F$6:$F$305,A38,InputPlayers!$O$6:$O$305,"Да"))</x:f>
      </x:c>
      <x:c r="E38">
        <x:f>IF(A38="","",SUMIFS(InputPlayers!$I$6:$I$305,InputPlayers!$F$6:$F$305,A38,InputPlayers!$O$6:$O$305,"Да"))</x:f>
      </x:c>
      <x:c r="F38">
        <x:f>IF(A38="","",SUMIFS(InputPlayers!$J$6:$J$305,InputPlayers!$F$6:$F$305,A38,InputPlayers!$O$6:$O$305,"Да"))</x:f>
      </x:c>
      <x:c r="G38">
        <x:f>IF(A38="","",SUMIFS(InputPlayers!$N$6:$N$305,InputPlayers!$F$6:$F$305,A38,InputPlayers!$O$6:$O$305,"Да"))</x:f>
      </x:c>
      <x:c r="H38">
        <x:f>IFERROR(G38/D38,"")</x:f>
      </x:c>
    </x:row>
    <x:row r="39">
      <x:c r="A39">
        <x:f>IF(InputPlayers!F40="","",IF(COUNTIF($A$5:A39,InputPlayers!F40)&gt;0,"",InputPlayers!F40))</x:f>
      </x:c>
      <x:c r="B39">
        <x:f>IF(A39="","",XLOOKUP(A39,InputPlayers!$F$6:$F$305,InputPlayers!$G$6:$G$305,""))</x:f>
      </x:c>
      <x:c r="C39">
        <x:f>IF(A39="","",XLOOKUP(A39,InputPlayers!$F$6:$F$305,InputPlayers!$H$6:$H$305,""))</x:f>
      </x:c>
      <x:c r="D39">
        <x:f>IF(A39="","",COUNTIFS(InputPlayers!$F$6:$F$305,A39,InputPlayers!$O$6:$O$305,"Да"))</x:f>
      </x:c>
      <x:c r="E39">
        <x:f>IF(A39="","",SUMIFS(InputPlayers!$I$6:$I$305,InputPlayers!$F$6:$F$305,A39,InputPlayers!$O$6:$O$305,"Да"))</x:f>
      </x:c>
      <x:c r="F39">
        <x:f>IF(A39="","",SUMIFS(InputPlayers!$J$6:$J$305,InputPlayers!$F$6:$F$305,A39,InputPlayers!$O$6:$O$305,"Да"))</x:f>
      </x:c>
      <x:c r="G39">
        <x:f>IF(A39="","",SUMIFS(InputPlayers!$N$6:$N$305,InputPlayers!$F$6:$F$305,A39,InputPlayers!$O$6:$O$305,"Да"))</x:f>
      </x:c>
      <x:c r="H39">
        <x:f>IFERROR(G39/D39,"")</x:f>
      </x:c>
    </x:row>
    <x:row r="40">
      <x:c r="A40">
        <x:f>IF(InputPlayers!F41="","",IF(COUNTIF($A$5:A40,InputPlayers!F41)&gt;0,"",InputPlayers!F41))</x:f>
      </x:c>
      <x:c r="B40">
        <x:f>IF(A40="","",XLOOKUP(A40,InputPlayers!$F$6:$F$305,InputPlayers!$G$6:$G$305,""))</x:f>
      </x:c>
      <x:c r="C40">
        <x:f>IF(A40="","",XLOOKUP(A40,InputPlayers!$F$6:$F$305,InputPlayers!$H$6:$H$305,""))</x:f>
      </x:c>
      <x:c r="D40">
        <x:f>IF(A40="","",COUNTIFS(InputPlayers!$F$6:$F$305,A40,InputPlayers!$O$6:$O$305,"Да"))</x:f>
      </x:c>
      <x:c r="E40">
        <x:f>IF(A40="","",SUMIFS(InputPlayers!$I$6:$I$305,InputPlayers!$F$6:$F$305,A40,InputPlayers!$O$6:$O$305,"Да"))</x:f>
      </x:c>
      <x:c r="F40">
        <x:f>IF(A40="","",SUMIFS(InputPlayers!$J$6:$J$305,InputPlayers!$F$6:$F$305,A40,InputPlayers!$O$6:$O$305,"Да"))</x:f>
      </x:c>
      <x:c r="G40">
        <x:f>IF(A40="","",SUMIFS(InputPlayers!$N$6:$N$305,InputPlayers!$F$6:$F$305,A40,InputPlayers!$O$6:$O$305,"Да"))</x:f>
      </x:c>
      <x:c r="H40">
        <x:f>IFERROR(G40/D40,"")</x:f>
      </x:c>
    </x:row>
    <x:row r="41">
      <x:c r="A41">
        <x:f>IF(InputPlayers!F42="","",IF(COUNTIF($A$5:A41,InputPlayers!F42)&gt;0,"",InputPlayers!F42))</x:f>
      </x:c>
      <x:c r="B41">
        <x:f>IF(A41="","",XLOOKUP(A41,InputPlayers!$F$6:$F$305,InputPlayers!$G$6:$G$305,""))</x:f>
      </x:c>
      <x:c r="C41">
        <x:f>IF(A41="","",XLOOKUP(A41,InputPlayers!$F$6:$F$305,InputPlayers!$H$6:$H$305,""))</x:f>
      </x:c>
      <x:c r="D41">
        <x:f>IF(A41="","",COUNTIFS(InputPlayers!$F$6:$F$305,A41,InputPlayers!$O$6:$O$305,"Да"))</x:f>
      </x:c>
      <x:c r="E41">
        <x:f>IF(A41="","",SUMIFS(InputPlayers!$I$6:$I$305,InputPlayers!$F$6:$F$305,A41,InputPlayers!$O$6:$O$305,"Да"))</x:f>
      </x:c>
      <x:c r="F41">
        <x:f>IF(A41="","",SUMIFS(InputPlayers!$J$6:$J$305,InputPlayers!$F$6:$F$305,A41,InputPlayers!$O$6:$O$305,"Да"))</x:f>
      </x:c>
      <x:c r="G41">
        <x:f>IF(A41="","",SUMIFS(InputPlayers!$N$6:$N$305,InputPlayers!$F$6:$F$305,A41,InputPlayers!$O$6:$O$305,"Да"))</x:f>
      </x:c>
      <x:c r="H41">
        <x:f>IFERROR(G41/D41,"")</x:f>
      </x:c>
    </x:row>
    <x:row r="42">
      <x:c r="A42">
        <x:f>IF(InputPlayers!F43="","",IF(COUNTIF($A$5:A42,InputPlayers!F43)&gt;0,"",InputPlayers!F43))</x:f>
      </x:c>
      <x:c r="B42">
        <x:f>IF(A42="","",XLOOKUP(A42,InputPlayers!$F$6:$F$305,InputPlayers!$G$6:$G$305,""))</x:f>
      </x:c>
      <x:c r="C42">
        <x:f>IF(A42="","",XLOOKUP(A42,InputPlayers!$F$6:$F$305,InputPlayers!$H$6:$H$305,""))</x:f>
      </x:c>
      <x:c r="D42">
        <x:f>IF(A42="","",COUNTIFS(InputPlayers!$F$6:$F$305,A42,InputPlayers!$O$6:$O$305,"Да"))</x:f>
      </x:c>
      <x:c r="E42">
        <x:f>IF(A42="","",SUMIFS(InputPlayers!$I$6:$I$305,InputPlayers!$F$6:$F$305,A42,InputPlayers!$O$6:$O$305,"Да"))</x:f>
      </x:c>
      <x:c r="F42">
        <x:f>IF(A42="","",SUMIFS(InputPlayers!$J$6:$J$305,InputPlayers!$F$6:$F$305,A42,InputPlayers!$O$6:$O$305,"Да"))</x:f>
      </x:c>
      <x:c r="G42">
        <x:f>IF(A42="","",SUMIFS(InputPlayers!$N$6:$N$305,InputPlayers!$F$6:$F$305,A42,InputPlayers!$O$6:$O$305,"Да"))</x:f>
      </x:c>
      <x:c r="H42">
        <x:f>IFERROR(G42/D42,"")</x:f>
      </x:c>
    </x:row>
    <x:row r="43">
      <x:c r="A43">
        <x:f>IF(InputPlayers!F44="","",IF(COUNTIF($A$5:A43,InputPlayers!F44)&gt;0,"",InputPlayers!F44))</x:f>
      </x:c>
      <x:c r="B43">
        <x:f>IF(A43="","",XLOOKUP(A43,InputPlayers!$F$6:$F$305,InputPlayers!$G$6:$G$305,""))</x:f>
      </x:c>
      <x:c r="C43">
        <x:f>IF(A43="","",XLOOKUP(A43,InputPlayers!$F$6:$F$305,InputPlayers!$H$6:$H$305,""))</x:f>
      </x:c>
      <x:c r="D43">
        <x:f>IF(A43="","",COUNTIFS(InputPlayers!$F$6:$F$305,A43,InputPlayers!$O$6:$O$305,"Да"))</x:f>
      </x:c>
      <x:c r="E43">
        <x:f>IF(A43="","",SUMIFS(InputPlayers!$I$6:$I$305,InputPlayers!$F$6:$F$305,A43,InputPlayers!$O$6:$O$305,"Да"))</x:f>
      </x:c>
      <x:c r="F43">
        <x:f>IF(A43="","",SUMIFS(InputPlayers!$J$6:$J$305,InputPlayers!$F$6:$F$305,A43,InputPlayers!$O$6:$O$305,"Да"))</x:f>
      </x:c>
      <x:c r="G43">
        <x:f>IF(A43="","",SUMIFS(InputPlayers!$N$6:$N$305,InputPlayers!$F$6:$F$305,A43,InputPlayers!$O$6:$O$305,"Да"))</x:f>
      </x:c>
      <x:c r="H43">
        <x:f>IFERROR(G43/D43,"")</x:f>
      </x:c>
    </x:row>
    <x:row r="44">
      <x:c r="A44">
        <x:f>IF(InputPlayers!F45="","",IF(COUNTIF($A$5:A44,InputPlayers!F45)&gt;0,"",InputPlayers!F45))</x:f>
      </x:c>
      <x:c r="B44">
        <x:f>IF(A44="","",XLOOKUP(A44,InputPlayers!$F$6:$F$305,InputPlayers!$G$6:$G$305,""))</x:f>
      </x:c>
      <x:c r="C44">
        <x:f>IF(A44="","",XLOOKUP(A44,InputPlayers!$F$6:$F$305,InputPlayers!$H$6:$H$305,""))</x:f>
      </x:c>
      <x:c r="D44">
        <x:f>IF(A44="","",COUNTIFS(InputPlayers!$F$6:$F$305,A44,InputPlayers!$O$6:$O$305,"Да"))</x:f>
      </x:c>
      <x:c r="E44">
        <x:f>IF(A44="","",SUMIFS(InputPlayers!$I$6:$I$305,InputPlayers!$F$6:$F$305,A44,InputPlayers!$O$6:$O$305,"Да"))</x:f>
      </x:c>
      <x:c r="F44">
        <x:f>IF(A44="","",SUMIFS(InputPlayers!$J$6:$J$305,InputPlayers!$F$6:$F$305,A44,InputPlayers!$O$6:$O$305,"Да"))</x:f>
      </x:c>
      <x:c r="G44">
        <x:f>IF(A44="","",SUMIFS(InputPlayers!$N$6:$N$305,InputPlayers!$F$6:$F$305,A44,InputPlayers!$O$6:$O$305,"Да"))</x:f>
      </x:c>
      <x:c r="H44">
        <x:f>IFERROR(G44/D44,"")</x:f>
      </x:c>
    </x:row>
    <x:row r="45">
      <x:c r="A45">
        <x:f>IF(InputPlayers!F46="","",IF(COUNTIF($A$5:A45,InputPlayers!F46)&gt;0,"",InputPlayers!F46))</x:f>
      </x:c>
      <x:c r="B45">
        <x:f>IF(A45="","",XLOOKUP(A45,InputPlayers!$F$6:$F$305,InputPlayers!$G$6:$G$305,""))</x:f>
      </x:c>
      <x:c r="C45">
        <x:f>IF(A45="","",XLOOKUP(A45,InputPlayers!$F$6:$F$305,InputPlayers!$H$6:$H$305,""))</x:f>
      </x:c>
      <x:c r="D45">
        <x:f>IF(A45="","",COUNTIFS(InputPlayers!$F$6:$F$305,A45,InputPlayers!$O$6:$O$305,"Да"))</x:f>
      </x:c>
      <x:c r="E45">
        <x:f>IF(A45="","",SUMIFS(InputPlayers!$I$6:$I$305,InputPlayers!$F$6:$F$305,A45,InputPlayers!$O$6:$O$305,"Да"))</x:f>
      </x:c>
      <x:c r="F45">
        <x:f>IF(A45="","",SUMIFS(InputPlayers!$J$6:$J$305,InputPlayers!$F$6:$F$305,A45,InputPlayers!$O$6:$O$305,"Да"))</x:f>
      </x:c>
      <x:c r="G45">
        <x:f>IF(A45="","",SUMIFS(InputPlayers!$N$6:$N$305,InputPlayers!$F$6:$F$305,A45,InputPlayers!$O$6:$O$305,"Да"))</x:f>
      </x:c>
      <x:c r="H45">
        <x:f>IFERROR(G45/D45,"")</x:f>
      </x:c>
    </x:row>
    <x:row r="46">
      <x:c r="A46">
        <x:f>IF(InputPlayers!F47="","",IF(COUNTIF($A$5:A46,InputPlayers!F47)&gt;0,"",InputPlayers!F47))</x:f>
      </x:c>
      <x:c r="B46">
        <x:f>IF(A46="","",XLOOKUP(A46,InputPlayers!$F$6:$F$305,InputPlayers!$G$6:$G$305,""))</x:f>
      </x:c>
      <x:c r="C46">
        <x:f>IF(A46="","",XLOOKUP(A46,InputPlayers!$F$6:$F$305,InputPlayers!$H$6:$H$305,""))</x:f>
      </x:c>
      <x:c r="D46">
        <x:f>IF(A46="","",COUNTIFS(InputPlayers!$F$6:$F$305,A46,InputPlayers!$O$6:$O$305,"Да"))</x:f>
      </x:c>
      <x:c r="E46">
        <x:f>IF(A46="","",SUMIFS(InputPlayers!$I$6:$I$305,InputPlayers!$F$6:$F$305,A46,InputPlayers!$O$6:$O$305,"Да"))</x:f>
      </x:c>
      <x:c r="F46">
        <x:f>IF(A46="","",SUMIFS(InputPlayers!$J$6:$J$305,InputPlayers!$F$6:$F$305,A46,InputPlayers!$O$6:$O$305,"Да"))</x:f>
      </x:c>
      <x:c r="G46">
        <x:f>IF(A46="","",SUMIFS(InputPlayers!$N$6:$N$305,InputPlayers!$F$6:$F$305,A46,InputPlayers!$O$6:$O$305,"Да"))</x:f>
      </x:c>
      <x:c r="H46">
        <x:f>IFERROR(G46/D46,"")</x:f>
      </x:c>
    </x:row>
    <x:row r="47">
      <x:c r="A47">
        <x:f>IF(InputPlayers!F48="","",IF(COUNTIF($A$5:A47,InputPlayers!F48)&gt;0,"",InputPlayers!F48))</x:f>
      </x:c>
      <x:c r="B47">
        <x:f>IF(A47="","",XLOOKUP(A47,InputPlayers!$F$6:$F$305,InputPlayers!$G$6:$G$305,""))</x:f>
      </x:c>
      <x:c r="C47">
        <x:f>IF(A47="","",XLOOKUP(A47,InputPlayers!$F$6:$F$305,InputPlayers!$H$6:$H$305,""))</x:f>
      </x:c>
      <x:c r="D47">
        <x:f>IF(A47="","",COUNTIFS(InputPlayers!$F$6:$F$305,A47,InputPlayers!$O$6:$O$305,"Да"))</x:f>
      </x:c>
      <x:c r="E47">
        <x:f>IF(A47="","",SUMIFS(InputPlayers!$I$6:$I$305,InputPlayers!$F$6:$F$305,A47,InputPlayers!$O$6:$O$305,"Да"))</x:f>
      </x:c>
      <x:c r="F47">
        <x:f>IF(A47="","",SUMIFS(InputPlayers!$J$6:$J$305,InputPlayers!$F$6:$F$305,A47,InputPlayers!$O$6:$O$305,"Да"))</x:f>
      </x:c>
      <x:c r="G47">
        <x:f>IF(A47="","",SUMIFS(InputPlayers!$N$6:$N$305,InputPlayers!$F$6:$F$305,A47,InputPlayers!$O$6:$O$305,"Да"))</x:f>
      </x:c>
      <x:c r="H47">
        <x:f>IFERROR(G47/D47,"")</x:f>
      </x:c>
    </x:row>
    <x:row r="48">
      <x:c r="A48">
        <x:f>IF(InputPlayers!F49="","",IF(COUNTIF($A$5:A48,InputPlayers!F49)&gt;0,"",InputPlayers!F49))</x:f>
      </x:c>
      <x:c r="B48">
        <x:f>IF(A48="","",XLOOKUP(A48,InputPlayers!$F$6:$F$305,InputPlayers!$G$6:$G$305,""))</x:f>
      </x:c>
      <x:c r="C48">
        <x:f>IF(A48="","",XLOOKUP(A48,InputPlayers!$F$6:$F$305,InputPlayers!$H$6:$H$305,""))</x:f>
      </x:c>
      <x:c r="D48">
        <x:f>IF(A48="","",COUNTIFS(InputPlayers!$F$6:$F$305,A48,InputPlayers!$O$6:$O$305,"Да"))</x:f>
      </x:c>
      <x:c r="E48">
        <x:f>IF(A48="","",SUMIFS(InputPlayers!$I$6:$I$305,InputPlayers!$F$6:$F$305,A48,InputPlayers!$O$6:$O$305,"Да"))</x:f>
      </x:c>
      <x:c r="F48">
        <x:f>IF(A48="","",SUMIFS(InputPlayers!$J$6:$J$305,InputPlayers!$F$6:$F$305,A48,InputPlayers!$O$6:$O$305,"Да"))</x:f>
      </x:c>
      <x:c r="G48">
        <x:f>IF(A48="","",SUMIFS(InputPlayers!$N$6:$N$305,InputPlayers!$F$6:$F$305,A48,InputPlayers!$O$6:$O$305,"Да"))</x:f>
      </x:c>
      <x:c r="H48">
        <x:f>IFERROR(G48/D48,"")</x:f>
      </x:c>
    </x:row>
    <x:row r="49">
      <x:c r="A49">
        <x:f>IF(InputPlayers!F50="","",IF(COUNTIF($A$5:A49,InputPlayers!F50)&gt;0,"",InputPlayers!F50))</x:f>
      </x:c>
      <x:c r="B49">
        <x:f>IF(A49="","",XLOOKUP(A49,InputPlayers!$F$6:$F$305,InputPlayers!$G$6:$G$305,""))</x:f>
      </x:c>
      <x:c r="C49">
        <x:f>IF(A49="","",XLOOKUP(A49,InputPlayers!$F$6:$F$305,InputPlayers!$H$6:$H$305,""))</x:f>
      </x:c>
      <x:c r="D49">
        <x:f>IF(A49="","",COUNTIFS(InputPlayers!$F$6:$F$305,A49,InputPlayers!$O$6:$O$305,"Да"))</x:f>
      </x:c>
      <x:c r="E49">
        <x:f>IF(A49="","",SUMIFS(InputPlayers!$I$6:$I$305,InputPlayers!$F$6:$F$305,A49,InputPlayers!$O$6:$O$305,"Да"))</x:f>
      </x:c>
      <x:c r="F49">
        <x:f>IF(A49="","",SUMIFS(InputPlayers!$J$6:$J$305,InputPlayers!$F$6:$F$305,A49,InputPlayers!$O$6:$O$305,"Да"))</x:f>
      </x:c>
      <x:c r="G49">
        <x:f>IF(A49="","",SUMIFS(InputPlayers!$N$6:$N$305,InputPlayers!$F$6:$F$305,A49,InputPlayers!$O$6:$O$305,"Да"))</x:f>
      </x:c>
      <x:c r="H49">
        <x:f>IFERROR(G49/D49,"")</x:f>
      </x:c>
    </x:row>
    <x:row r="50">
      <x:c r="A50">
        <x:f>IF(InputPlayers!F51="","",IF(COUNTIF($A$5:A50,InputPlayers!F51)&gt;0,"",InputPlayers!F51))</x:f>
      </x:c>
      <x:c r="B50">
        <x:f>IF(A50="","",XLOOKUP(A50,InputPlayers!$F$6:$F$305,InputPlayers!$G$6:$G$305,""))</x:f>
      </x:c>
      <x:c r="C50">
        <x:f>IF(A50="","",XLOOKUP(A50,InputPlayers!$F$6:$F$305,InputPlayers!$H$6:$H$305,""))</x:f>
      </x:c>
      <x:c r="D50">
        <x:f>IF(A50="","",COUNTIFS(InputPlayers!$F$6:$F$305,A50,InputPlayers!$O$6:$O$305,"Да"))</x:f>
      </x:c>
      <x:c r="E50">
        <x:f>IF(A50="","",SUMIFS(InputPlayers!$I$6:$I$305,InputPlayers!$F$6:$F$305,A50,InputPlayers!$O$6:$O$305,"Да"))</x:f>
      </x:c>
      <x:c r="F50">
        <x:f>IF(A50="","",SUMIFS(InputPlayers!$J$6:$J$305,InputPlayers!$F$6:$F$305,A50,InputPlayers!$O$6:$O$305,"Да"))</x:f>
      </x:c>
      <x:c r="G50">
        <x:f>IF(A50="","",SUMIFS(InputPlayers!$N$6:$N$305,InputPlayers!$F$6:$F$305,A50,InputPlayers!$O$6:$O$305,"Да"))</x:f>
      </x:c>
      <x:c r="H50">
        <x:f>IFERROR(G50/D50,"")</x:f>
      </x:c>
    </x:row>
    <x:row r="51">
      <x:c r="A51">
        <x:f>IF(InputPlayers!F52="","",IF(COUNTIF($A$5:A51,InputPlayers!F52)&gt;0,"",InputPlayers!F52))</x:f>
      </x:c>
      <x:c r="B51">
        <x:f>IF(A51="","",XLOOKUP(A51,InputPlayers!$F$6:$F$305,InputPlayers!$G$6:$G$305,""))</x:f>
      </x:c>
      <x:c r="C51">
        <x:f>IF(A51="","",XLOOKUP(A51,InputPlayers!$F$6:$F$305,InputPlayers!$H$6:$H$305,""))</x:f>
      </x:c>
      <x:c r="D51">
        <x:f>IF(A51="","",COUNTIFS(InputPlayers!$F$6:$F$305,A51,InputPlayers!$O$6:$O$305,"Да"))</x:f>
      </x:c>
      <x:c r="E51">
        <x:f>IF(A51="","",SUMIFS(InputPlayers!$I$6:$I$305,InputPlayers!$F$6:$F$305,A51,InputPlayers!$O$6:$O$305,"Да"))</x:f>
      </x:c>
      <x:c r="F51">
        <x:f>IF(A51="","",SUMIFS(InputPlayers!$J$6:$J$305,InputPlayers!$F$6:$F$305,A51,InputPlayers!$O$6:$O$305,"Да"))</x:f>
      </x:c>
      <x:c r="G51">
        <x:f>IF(A51="","",SUMIFS(InputPlayers!$N$6:$N$305,InputPlayers!$F$6:$F$305,A51,InputPlayers!$O$6:$O$305,"Да"))</x:f>
      </x:c>
      <x:c r="H51">
        <x:f>IFERROR(G51/D51,"")</x:f>
      </x:c>
    </x:row>
    <x:row r="52">
      <x:c r="A52">
        <x:f>IF(InputPlayers!F53="","",IF(COUNTIF($A$5:A52,InputPlayers!F53)&gt;0,"",InputPlayers!F53))</x:f>
      </x:c>
      <x:c r="B52">
        <x:f>IF(A52="","",XLOOKUP(A52,InputPlayers!$F$6:$F$305,InputPlayers!$G$6:$G$305,""))</x:f>
      </x:c>
      <x:c r="C52">
        <x:f>IF(A52="","",XLOOKUP(A52,InputPlayers!$F$6:$F$305,InputPlayers!$H$6:$H$305,""))</x:f>
      </x:c>
      <x:c r="D52">
        <x:f>IF(A52="","",COUNTIFS(InputPlayers!$F$6:$F$305,A52,InputPlayers!$O$6:$O$305,"Да"))</x:f>
      </x:c>
      <x:c r="E52">
        <x:f>IF(A52="","",SUMIFS(InputPlayers!$I$6:$I$305,InputPlayers!$F$6:$F$305,A52,InputPlayers!$O$6:$O$305,"Да"))</x:f>
      </x:c>
      <x:c r="F52">
        <x:f>IF(A52="","",SUMIFS(InputPlayers!$J$6:$J$305,InputPlayers!$F$6:$F$305,A52,InputPlayers!$O$6:$O$305,"Да"))</x:f>
      </x:c>
      <x:c r="G52">
        <x:f>IF(A52="","",SUMIFS(InputPlayers!$N$6:$N$305,InputPlayers!$F$6:$F$305,A52,InputPlayers!$O$6:$O$305,"Да"))</x:f>
      </x:c>
      <x:c r="H52">
        <x:f>IFERROR(G52/D52,"")</x:f>
      </x:c>
    </x:row>
    <x:row r="53">
      <x:c r="A53">
        <x:f>IF(InputPlayers!F54="","",IF(COUNTIF($A$5:A53,InputPlayers!F54)&gt;0,"",InputPlayers!F54))</x:f>
      </x:c>
      <x:c r="B53">
        <x:f>IF(A53="","",XLOOKUP(A53,InputPlayers!$F$6:$F$305,InputPlayers!$G$6:$G$305,""))</x:f>
      </x:c>
      <x:c r="C53">
        <x:f>IF(A53="","",XLOOKUP(A53,InputPlayers!$F$6:$F$305,InputPlayers!$H$6:$H$305,""))</x:f>
      </x:c>
      <x:c r="D53">
        <x:f>IF(A53="","",COUNTIFS(InputPlayers!$F$6:$F$305,A53,InputPlayers!$O$6:$O$305,"Да"))</x:f>
      </x:c>
      <x:c r="E53">
        <x:f>IF(A53="","",SUMIFS(InputPlayers!$I$6:$I$305,InputPlayers!$F$6:$F$305,A53,InputPlayers!$O$6:$O$305,"Да"))</x:f>
      </x:c>
      <x:c r="F53">
        <x:f>IF(A53="","",SUMIFS(InputPlayers!$J$6:$J$305,InputPlayers!$F$6:$F$305,A53,InputPlayers!$O$6:$O$305,"Да"))</x:f>
      </x:c>
      <x:c r="G53">
        <x:f>IF(A53="","",SUMIFS(InputPlayers!$N$6:$N$305,InputPlayers!$F$6:$F$305,A53,InputPlayers!$O$6:$O$305,"Да"))</x:f>
      </x:c>
      <x:c r="H53">
        <x:f>IFERROR(G53/D53,"")</x:f>
      </x:c>
    </x:row>
    <x:row r="54">
      <x:c r="A54">
        <x:f>IF(InputPlayers!F55="","",IF(COUNTIF($A$5:A54,InputPlayers!F55)&gt;0,"",InputPlayers!F55))</x:f>
      </x:c>
      <x:c r="B54">
        <x:f>IF(A54="","",XLOOKUP(A54,InputPlayers!$F$6:$F$305,InputPlayers!$G$6:$G$305,""))</x:f>
      </x:c>
      <x:c r="C54">
        <x:f>IF(A54="","",XLOOKUP(A54,InputPlayers!$F$6:$F$305,InputPlayers!$H$6:$H$305,""))</x:f>
      </x:c>
      <x:c r="D54">
        <x:f>IF(A54="","",COUNTIFS(InputPlayers!$F$6:$F$305,A54,InputPlayers!$O$6:$O$305,"Да"))</x:f>
      </x:c>
      <x:c r="E54">
        <x:f>IF(A54="","",SUMIFS(InputPlayers!$I$6:$I$305,InputPlayers!$F$6:$F$305,A54,InputPlayers!$O$6:$O$305,"Да"))</x:f>
      </x:c>
      <x:c r="F54">
        <x:f>IF(A54="","",SUMIFS(InputPlayers!$J$6:$J$305,InputPlayers!$F$6:$F$305,A54,InputPlayers!$O$6:$O$305,"Да"))</x:f>
      </x:c>
      <x:c r="G54">
        <x:f>IF(A54="","",SUMIFS(InputPlayers!$N$6:$N$305,InputPlayers!$F$6:$F$305,A54,InputPlayers!$O$6:$O$305,"Да"))</x:f>
      </x:c>
      <x:c r="H54">
        <x:f>IFERROR(G54/D54,"")</x:f>
      </x:c>
    </x:row>
    <x:row r="55">
      <x:c r="A55">
        <x:f>IF(InputPlayers!F56="","",IF(COUNTIF($A$5:A55,InputPlayers!F56)&gt;0,"",InputPlayers!F56))</x:f>
      </x:c>
      <x:c r="B55">
        <x:f>IF(A55="","",XLOOKUP(A55,InputPlayers!$F$6:$F$305,InputPlayers!$G$6:$G$305,""))</x:f>
      </x:c>
      <x:c r="C55">
        <x:f>IF(A55="","",XLOOKUP(A55,InputPlayers!$F$6:$F$305,InputPlayers!$H$6:$H$305,""))</x:f>
      </x:c>
      <x:c r="D55">
        <x:f>IF(A55="","",COUNTIFS(InputPlayers!$F$6:$F$305,A55,InputPlayers!$O$6:$O$305,"Да"))</x:f>
      </x:c>
      <x:c r="E55">
        <x:f>IF(A55="","",SUMIFS(InputPlayers!$I$6:$I$305,InputPlayers!$F$6:$F$305,A55,InputPlayers!$O$6:$O$305,"Да"))</x:f>
      </x:c>
      <x:c r="F55">
        <x:f>IF(A55="","",SUMIFS(InputPlayers!$J$6:$J$305,InputPlayers!$F$6:$F$305,A55,InputPlayers!$O$6:$O$305,"Да"))</x:f>
      </x:c>
      <x:c r="G55">
        <x:f>IF(A55="","",SUMIFS(InputPlayers!$N$6:$N$305,InputPlayers!$F$6:$F$305,A55,InputPlayers!$O$6:$O$305,"Да"))</x:f>
      </x:c>
      <x:c r="H55">
        <x:f>IFERROR(G55/D55,"")</x:f>
      </x:c>
    </x:row>
    <x:row r="56">
      <x:c r="A56">
        <x:f>IF(InputPlayers!F57="","",IF(COUNTIF($A$5:A56,InputPlayers!F57)&gt;0,"",InputPlayers!F57))</x:f>
      </x:c>
      <x:c r="B56">
        <x:f>IF(A56="","",XLOOKUP(A56,InputPlayers!$F$6:$F$305,InputPlayers!$G$6:$G$305,""))</x:f>
      </x:c>
      <x:c r="C56">
        <x:f>IF(A56="","",XLOOKUP(A56,InputPlayers!$F$6:$F$305,InputPlayers!$H$6:$H$305,""))</x:f>
      </x:c>
      <x:c r="D56">
        <x:f>IF(A56="","",COUNTIFS(InputPlayers!$F$6:$F$305,A56,InputPlayers!$O$6:$O$305,"Да"))</x:f>
      </x:c>
      <x:c r="E56">
        <x:f>IF(A56="","",SUMIFS(InputPlayers!$I$6:$I$305,InputPlayers!$F$6:$F$305,A56,InputPlayers!$O$6:$O$305,"Да"))</x:f>
      </x:c>
      <x:c r="F56">
        <x:f>IF(A56="","",SUMIFS(InputPlayers!$J$6:$J$305,InputPlayers!$F$6:$F$305,A56,InputPlayers!$O$6:$O$305,"Да"))</x:f>
      </x:c>
      <x:c r="G56">
        <x:f>IF(A56="","",SUMIFS(InputPlayers!$N$6:$N$305,InputPlayers!$F$6:$F$305,A56,InputPlayers!$O$6:$O$305,"Да"))</x:f>
      </x:c>
      <x:c r="H56">
        <x:f>IFERROR(G56/D56,"")</x:f>
      </x:c>
    </x:row>
    <x:row r="57">
      <x:c r="A57">
        <x:f>IF(InputPlayers!F58="","",IF(COUNTIF($A$5:A57,InputPlayers!F58)&gt;0,"",InputPlayers!F58))</x:f>
      </x:c>
      <x:c r="B57">
        <x:f>IF(A57="","",XLOOKUP(A57,InputPlayers!$F$6:$F$305,InputPlayers!$G$6:$G$305,""))</x:f>
      </x:c>
      <x:c r="C57">
        <x:f>IF(A57="","",XLOOKUP(A57,InputPlayers!$F$6:$F$305,InputPlayers!$H$6:$H$305,""))</x:f>
      </x:c>
      <x:c r="D57">
        <x:f>IF(A57="","",COUNTIFS(InputPlayers!$F$6:$F$305,A57,InputPlayers!$O$6:$O$305,"Да"))</x:f>
      </x:c>
      <x:c r="E57">
        <x:f>IF(A57="","",SUMIFS(InputPlayers!$I$6:$I$305,InputPlayers!$F$6:$F$305,A57,InputPlayers!$O$6:$O$305,"Да"))</x:f>
      </x:c>
      <x:c r="F57">
        <x:f>IF(A57="","",SUMIFS(InputPlayers!$J$6:$J$305,InputPlayers!$F$6:$F$305,A57,InputPlayers!$O$6:$O$305,"Да"))</x:f>
      </x:c>
      <x:c r="G57">
        <x:f>IF(A57="","",SUMIFS(InputPlayers!$N$6:$N$305,InputPlayers!$F$6:$F$305,A57,InputPlayers!$O$6:$O$305,"Да"))</x:f>
      </x:c>
      <x:c r="H57">
        <x:f>IFERROR(G57/D57,"")</x:f>
      </x:c>
    </x:row>
    <x:row r="58">
      <x:c r="A58">
        <x:f>IF(InputPlayers!F59="","",IF(COUNTIF($A$5:A58,InputPlayers!F59)&gt;0,"",InputPlayers!F59))</x:f>
      </x:c>
      <x:c r="B58">
        <x:f>IF(A58="","",XLOOKUP(A58,InputPlayers!$F$6:$F$305,InputPlayers!$G$6:$G$305,""))</x:f>
      </x:c>
      <x:c r="C58">
        <x:f>IF(A58="","",XLOOKUP(A58,InputPlayers!$F$6:$F$305,InputPlayers!$H$6:$H$305,""))</x:f>
      </x:c>
      <x:c r="D58">
        <x:f>IF(A58="","",COUNTIFS(InputPlayers!$F$6:$F$305,A58,InputPlayers!$O$6:$O$305,"Да"))</x:f>
      </x:c>
      <x:c r="E58">
        <x:f>IF(A58="","",SUMIFS(InputPlayers!$I$6:$I$305,InputPlayers!$F$6:$F$305,A58,InputPlayers!$O$6:$O$305,"Да"))</x:f>
      </x:c>
      <x:c r="F58">
        <x:f>IF(A58="","",SUMIFS(InputPlayers!$J$6:$J$305,InputPlayers!$F$6:$F$305,A58,InputPlayers!$O$6:$O$305,"Да"))</x:f>
      </x:c>
      <x:c r="G58">
        <x:f>IF(A58="","",SUMIFS(InputPlayers!$N$6:$N$305,InputPlayers!$F$6:$F$305,A58,InputPlayers!$O$6:$O$305,"Да"))</x:f>
      </x:c>
      <x:c r="H58">
        <x:f>IFERROR(G58/D58,"")</x:f>
      </x:c>
    </x:row>
    <x:row r="59">
      <x:c r="A59">
        <x:f>IF(InputPlayers!F60="","",IF(COUNTIF($A$5:A59,InputPlayers!F60)&gt;0,"",InputPlayers!F60))</x:f>
      </x:c>
      <x:c r="B59">
        <x:f>IF(A59="","",XLOOKUP(A59,InputPlayers!$F$6:$F$305,InputPlayers!$G$6:$G$305,""))</x:f>
      </x:c>
      <x:c r="C59">
        <x:f>IF(A59="","",XLOOKUP(A59,InputPlayers!$F$6:$F$305,InputPlayers!$H$6:$H$305,""))</x:f>
      </x:c>
      <x:c r="D59">
        <x:f>IF(A59="","",COUNTIFS(InputPlayers!$F$6:$F$305,A59,InputPlayers!$O$6:$O$305,"Да"))</x:f>
      </x:c>
      <x:c r="E59">
        <x:f>IF(A59="","",SUMIFS(InputPlayers!$I$6:$I$305,InputPlayers!$F$6:$F$305,A59,InputPlayers!$O$6:$O$305,"Да"))</x:f>
      </x:c>
      <x:c r="F59">
        <x:f>IF(A59="","",SUMIFS(InputPlayers!$J$6:$J$305,InputPlayers!$F$6:$F$305,A59,InputPlayers!$O$6:$O$305,"Да"))</x:f>
      </x:c>
      <x:c r="G59">
        <x:f>IF(A59="","",SUMIFS(InputPlayers!$N$6:$N$305,InputPlayers!$F$6:$F$305,A59,InputPlayers!$O$6:$O$305,"Да"))</x:f>
      </x:c>
      <x:c r="H59">
        <x:f>IFERROR(G59/D59,"")</x:f>
      </x:c>
    </x:row>
    <x:row r="60">
      <x:c r="A60">
        <x:f>IF(InputPlayers!F61="","",IF(COUNTIF($A$5:A60,InputPlayers!F61)&gt;0,"",InputPlayers!F61))</x:f>
      </x:c>
      <x:c r="B60">
        <x:f>IF(A60="","",XLOOKUP(A60,InputPlayers!$F$6:$F$305,InputPlayers!$G$6:$G$305,""))</x:f>
      </x:c>
      <x:c r="C60">
        <x:f>IF(A60="","",XLOOKUP(A60,InputPlayers!$F$6:$F$305,InputPlayers!$H$6:$H$305,""))</x:f>
      </x:c>
      <x:c r="D60">
        <x:f>IF(A60="","",COUNTIFS(InputPlayers!$F$6:$F$305,A60,InputPlayers!$O$6:$O$305,"Да"))</x:f>
      </x:c>
      <x:c r="E60">
        <x:f>IF(A60="","",SUMIFS(InputPlayers!$I$6:$I$305,InputPlayers!$F$6:$F$305,A60,InputPlayers!$O$6:$O$305,"Да"))</x:f>
      </x:c>
      <x:c r="F60">
        <x:f>IF(A60="","",SUMIFS(InputPlayers!$J$6:$J$305,InputPlayers!$F$6:$F$305,A60,InputPlayers!$O$6:$O$305,"Да"))</x:f>
      </x:c>
      <x:c r="G60">
        <x:f>IF(A60="","",SUMIFS(InputPlayers!$N$6:$N$305,InputPlayers!$F$6:$F$305,A60,InputPlayers!$O$6:$O$305,"Да"))</x:f>
      </x:c>
      <x:c r="H60">
        <x:f>IFERROR(G60/D60,"")</x:f>
      </x:c>
    </x:row>
    <x:row r="61">
      <x:c r="A61">
        <x:f>IF(InputPlayers!F62="","",IF(COUNTIF($A$5:A61,InputPlayers!F62)&gt;0,"",InputPlayers!F62))</x:f>
      </x:c>
      <x:c r="B61">
        <x:f>IF(A61="","",XLOOKUP(A61,InputPlayers!$F$6:$F$305,InputPlayers!$G$6:$G$305,""))</x:f>
      </x:c>
      <x:c r="C61">
        <x:f>IF(A61="","",XLOOKUP(A61,InputPlayers!$F$6:$F$305,InputPlayers!$H$6:$H$305,""))</x:f>
      </x:c>
      <x:c r="D61">
        <x:f>IF(A61="","",COUNTIFS(InputPlayers!$F$6:$F$305,A61,InputPlayers!$O$6:$O$305,"Да"))</x:f>
      </x:c>
      <x:c r="E61">
        <x:f>IF(A61="","",SUMIFS(InputPlayers!$I$6:$I$305,InputPlayers!$F$6:$F$305,A61,InputPlayers!$O$6:$O$305,"Да"))</x:f>
      </x:c>
      <x:c r="F61">
        <x:f>IF(A61="","",SUMIFS(InputPlayers!$J$6:$J$305,InputPlayers!$F$6:$F$305,A61,InputPlayers!$O$6:$O$305,"Да"))</x:f>
      </x:c>
      <x:c r="G61">
        <x:f>IF(A61="","",SUMIFS(InputPlayers!$N$6:$N$305,InputPlayers!$F$6:$F$305,A61,InputPlayers!$O$6:$O$305,"Да"))</x:f>
      </x:c>
      <x:c r="H61">
        <x:f>IFERROR(G61/D61,"")</x:f>
      </x:c>
    </x:row>
    <x:row r="62">
      <x:c r="A62">
        <x:f>IF(InputPlayers!F63="","",IF(COUNTIF($A$5:A62,InputPlayers!F63)&gt;0,"",InputPlayers!F63))</x:f>
      </x:c>
      <x:c r="B62">
        <x:f>IF(A62="","",XLOOKUP(A62,InputPlayers!$F$6:$F$305,InputPlayers!$G$6:$G$305,""))</x:f>
      </x:c>
      <x:c r="C62">
        <x:f>IF(A62="","",XLOOKUP(A62,InputPlayers!$F$6:$F$305,InputPlayers!$H$6:$H$305,""))</x:f>
      </x:c>
      <x:c r="D62">
        <x:f>IF(A62="","",COUNTIFS(InputPlayers!$F$6:$F$305,A62,InputPlayers!$O$6:$O$305,"Да"))</x:f>
      </x:c>
      <x:c r="E62">
        <x:f>IF(A62="","",SUMIFS(InputPlayers!$I$6:$I$305,InputPlayers!$F$6:$F$305,A62,InputPlayers!$O$6:$O$305,"Да"))</x:f>
      </x:c>
      <x:c r="F62">
        <x:f>IF(A62="","",SUMIFS(InputPlayers!$J$6:$J$305,InputPlayers!$F$6:$F$305,A62,InputPlayers!$O$6:$O$305,"Да"))</x:f>
      </x:c>
      <x:c r="G62">
        <x:f>IF(A62="","",SUMIFS(InputPlayers!$N$6:$N$305,InputPlayers!$F$6:$F$305,A62,InputPlayers!$O$6:$O$305,"Да"))</x:f>
      </x:c>
      <x:c r="H62">
        <x:f>IFERROR(G62/D62,"")</x:f>
      </x:c>
    </x:row>
    <x:row r="63">
      <x:c r="A63">
        <x:f>IF(InputPlayers!F64="","",IF(COUNTIF($A$5:A63,InputPlayers!F64)&gt;0,"",InputPlayers!F64))</x:f>
      </x:c>
      <x:c r="B63">
        <x:f>IF(A63="","",XLOOKUP(A63,InputPlayers!$F$6:$F$305,InputPlayers!$G$6:$G$305,""))</x:f>
      </x:c>
      <x:c r="C63">
        <x:f>IF(A63="","",XLOOKUP(A63,InputPlayers!$F$6:$F$305,InputPlayers!$H$6:$H$305,""))</x:f>
      </x:c>
      <x:c r="D63">
        <x:f>IF(A63="","",COUNTIFS(InputPlayers!$F$6:$F$305,A63,InputPlayers!$O$6:$O$305,"Да"))</x:f>
      </x:c>
      <x:c r="E63">
        <x:f>IF(A63="","",SUMIFS(InputPlayers!$I$6:$I$305,InputPlayers!$F$6:$F$305,A63,InputPlayers!$O$6:$O$305,"Да"))</x:f>
      </x:c>
      <x:c r="F63">
        <x:f>IF(A63="","",SUMIFS(InputPlayers!$J$6:$J$305,InputPlayers!$F$6:$F$305,A63,InputPlayers!$O$6:$O$305,"Да"))</x:f>
      </x:c>
      <x:c r="G63">
        <x:f>IF(A63="","",SUMIFS(InputPlayers!$N$6:$N$305,InputPlayers!$F$6:$F$305,A63,InputPlayers!$O$6:$O$305,"Да"))</x:f>
      </x:c>
      <x:c r="H63">
        <x:f>IFERROR(G63/D63,"")</x:f>
      </x:c>
    </x:row>
    <x:row r="64">
      <x:c r="A64">
        <x:f>IF(InputPlayers!F65="","",IF(COUNTIF($A$5:A64,InputPlayers!F65)&gt;0,"",InputPlayers!F65))</x:f>
      </x:c>
      <x:c r="B64">
        <x:f>IF(A64="","",XLOOKUP(A64,InputPlayers!$F$6:$F$305,InputPlayers!$G$6:$G$305,""))</x:f>
      </x:c>
      <x:c r="C64">
        <x:f>IF(A64="","",XLOOKUP(A64,InputPlayers!$F$6:$F$305,InputPlayers!$H$6:$H$305,""))</x:f>
      </x:c>
      <x:c r="D64">
        <x:f>IF(A64="","",COUNTIFS(InputPlayers!$F$6:$F$305,A64,InputPlayers!$O$6:$O$305,"Да"))</x:f>
      </x:c>
      <x:c r="E64">
        <x:f>IF(A64="","",SUMIFS(InputPlayers!$I$6:$I$305,InputPlayers!$F$6:$F$305,A64,InputPlayers!$O$6:$O$305,"Да"))</x:f>
      </x:c>
      <x:c r="F64">
        <x:f>IF(A64="","",SUMIFS(InputPlayers!$J$6:$J$305,InputPlayers!$F$6:$F$305,A64,InputPlayers!$O$6:$O$305,"Да"))</x:f>
      </x:c>
      <x:c r="G64">
        <x:f>IF(A64="","",SUMIFS(InputPlayers!$N$6:$N$305,InputPlayers!$F$6:$F$305,A64,InputPlayers!$O$6:$O$305,"Да"))</x:f>
      </x:c>
      <x:c r="H64">
        <x:f>IFERROR(G64/D64,"")</x:f>
      </x:c>
    </x:row>
    <x:row r="65">
      <x:c r="A65">
        <x:f>IF(InputPlayers!F66="","",IF(COUNTIF($A$5:A65,InputPlayers!F66)&gt;0,"",InputPlayers!F66))</x:f>
      </x:c>
      <x:c r="B65">
        <x:f>IF(A65="","",XLOOKUP(A65,InputPlayers!$F$6:$F$305,InputPlayers!$G$6:$G$305,""))</x:f>
      </x:c>
      <x:c r="C65">
        <x:f>IF(A65="","",XLOOKUP(A65,InputPlayers!$F$6:$F$305,InputPlayers!$H$6:$H$305,""))</x:f>
      </x:c>
      <x:c r="D65">
        <x:f>IF(A65="","",COUNTIFS(InputPlayers!$F$6:$F$305,A65,InputPlayers!$O$6:$O$305,"Да"))</x:f>
      </x:c>
      <x:c r="E65">
        <x:f>IF(A65="","",SUMIFS(InputPlayers!$I$6:$I$305,InputPlayers!$F$6:$F$305,A65,InputPlayers!$O$6:$O$305,"Да"))</x:f>
      </x:c>
      <x:c r="F65">
        <x:f>IF(A65="","",SUMIFS(InputPlayers!$J$6:$J$305,InputPlayers!$F$6:$F$305,A65,InputPlayers!$O$6:$O$305,"Да"))</x:f>
      </x:c>
      <x:c r="G65">
        <x:f>IF(A65="","",SUMIFS(InputPlayers!$N$6:$N$305,InputPlayers!$F$6:$F$305,A65,InputPlayers!$O$6:$O$305,"Да"))</x:f>
      </x:c>
      <x:c r="H65">
        <x:f>IFERROR(G65/D65,"")</x:f>
      </x:c>
    </x:row>
    <x:row r="66">
      <x:c r="A66">
        <x:f>IF(InputPlayers!F67="","",IF(COUNTIF($A$5:A66,InputPlayers!F67)&gt;0,"",InputPlayers!F67))</x:f>
      </x:c>
      <x:c r="B66">
        <x:f>IF(A66="","",XLOOKUP(A66,InputPlayers!$F$6:$F$305,InputPlayers!$G$6:$G$305,""))</x:f>
      </x:c>
      <x:c r="C66">
        <x:f>IF(A66="","",XLOOKUP(A66,InputPlayers!$F$6:$F$305,InputPlayers!$H$6:$H$305,""))</x:f>
      </x:c>
      <x:c r="D66">
        <x:f>IF(A66="","",COUNTIFS(InputPlayers!$F$6:$F$305,A66,InputPlayers!$O$6:$O$305,"Да"))</x:f>
      </x:c>
      <x:c r="E66">
        <x:f>IF(A66="","",SUMIFS(InputPlayers!$I$6:$I$305,InputPlayers!$F$6:$F$305,A66,InputPlayers!$O$6:$O$305,"Да"))</x:f>
      </x:c>
      <x:c r="F66">
        <x:f>IF(A66="","",SUMIFS(InputPlayers!$J$6:$J$305,InputPlayers!$F$6:$F$305,A66,InputPlayers!$O$6:$O$305,"Да"))</x:f>
      </x:c>
      <x:c r="G66">
        <x:f>IF(A66="","",SUMIFS(InputPlayers!$N$6:$N$305,InputPlayers!$F$6:$F$305,A66,InputPlayers!$O$6:$O$305,"Да"))</x:f>
      </x:c>
      <x:c r="H66">
        <x:f>IFERROR(G66/D66,"")</x:f>
      </x:c>
    </x:row>
    <x:row r="67">
      <x:c r="A67">
        <x:f>IF(InputPlayers!F68="","",IF(COUNTIF($A$5:A67,InputPlayers!F68)&gt;0,"",InputPlayers!F68))</x:f>
      </x:c>
      <x:c r="B67">
        <x:f>IF(A67="","",XLOOKUP(A67,InputPlayers!$F$6:$F$305,InputPlayers!$G$6:$G$305,""))</x:f>
      </x:c>
      <x:c r="C67">
        <x:f>IF(A67="","",XLOOKUP(A67,InputPlayers!$F$6:$F$305,InputPlayers!$H$6:$H$305,""))</x:f>
      </x:c>
      <x:c r="D67">
        <x:f>IF(A67="","",COUNTIFS(InputPlayers!$F$6:$F$305,A67,InputPlayers!$O$6:$O$305,"Да"))</x:f>
      </x:c>
      <x:c r="E67">
        <x:f>IF(A67="","",SUMIFS(InputPlayers!$I$6:$I$305,InputPlayers!$F$6:$F$305,A67,InputPlayers!$O$6:$O$305,"Да"))</x:f>
      </x:c>
      <x:c r="F67">
        <x:f>IF(A67="","",SUMIFS(InputPlayers!$J$6:$J$305,InputPlayers!$F$6:$F$305,A67,InputPlayers!$O$6:$O$305,"Да"))</x:f>
      </x:c>
      <x:c r="G67">
        <x:f>IF(A67="","",SUMIFS(InputPlayers!$N$6:$N$305,InputPlayers!$F$6:$F$305,A67,InputPlayers!$O$6:$O$305,"Да"))</x:f>
      </x:c>
      <x:c r="H67">
        <x:f>IFERROR(G67/D67,"")</x:f>
      </x:c>
    </x:row>
    <x:row r="68">
      <x:c r="A68">
        <x:f>IF(InputPlayers!F69="","",IF(COUNTIF($A$5:A68,InputPlayers!F69)&gt;0,"",InputPlayers!F69))</x:f>
      </x:c>
      <x:c r="B68">
        <x:f>IF(A68="","",XLOOKUP(A68,InputPlayers!$F$6:$F$305,InputPlayers!$G$6:$G$305,""))</x:f>
      </x:c>
      <x:c r="C68">
        <x:f>IF(A68="","",XLOOKUP(A68,InputPlayers!$F$6:$F$305,InputPlayers!$H$6:$H$305,""))</x:f>
      </x:c>
      <x:c r="D68">
        <x:f>IF(A68="","",COUNTIFS(InputPlayers!$F$6:$F$305,A68,InputPlayers!$O$6:$O$305,"Да"))</x:f>
      </x:c>
      <x:c r="E68">
        <x:f>IF(A68="","",SUMIFS(InputPlayers!$I$6:$I$305,InputPlayers!$F$6:$F$305,A68,InputPlayers!$O$6:$O$305,"Да"))</x:f>
      </x:c>
      <x:c r="F68">
        <x:f>IF(A68="","",SUMIFS(InputPlayers!$J$6:$J$305,InputPlayers!$F$6:$F$305,A68,InputPlayers!$O$6:$O$305,"Да"))</x:f>
      </x:c>
      <x:c r="G68">
        <x:f>IF(A68="","",SUMIFS(InputPlayers!$N$6:$N$305,InputPlayers!$F$6:$F$305,A68,InputPlayers!$O$6:$O$305,"Да"))</x:f>
      </x:c>
      <x:c r="H68">
        <x:f>IFERROR(G68/D68,"")</x:f>
      </x:c>
    </x:row>
    <x:row r="69">
      <x:c r="A69">
        <x:f>IF(InputPlayers!F70="","",IF(COUNTIF($A$5:A69,InputPlayers!F70)&gt;0,"",InputPlayers!F70))</x:f>
      </x:c>
      <x:c r="B69">
        <x:f>IF(A69="","",XLOOKUP(A69,InputPlayers!$F$6:$F$305,InputPlayers!$G$6:$G$305,""))</x:f>
      </x:c>
      <x:c r="C69">
        <x:f>IF(A69="","",XLOOKUP(A69,InputPlayers!$F$6:$F$305,InputPlayers!$H$6:$H$305,""))</x:f>
      </x:c>
      <x:c r="D69">
        <x:f>IF(A69="","",COUNTIFS(InputPlayers!$F$6:$F$305,A69,InputPlayers!$O$6:$O$305,"Да"))</x:f>
      </x:c>
      <x:c r="E69">
        <x:f>IF(A69="","",SUMIFS(InputPlayers!$I$6:$I$305,InputPlayers!$F$6:$F$305,A69,InputPlayers!$O$6:$O$305,"Да"))</x:f>
      </x:c>
      <x:c r="F69">
        <x:f>IF(A69="","",SUMIFS(InputPlayers!$J$6:$J$305,InputPlayers!$F$6:$F$305,A69,InputPlayers!$O$6:$O$305,"Да"))</x:f>
      </x:c>
      <x:c r="G69">
        <x:f>IF(A69="","",SUMIFS(InputPlayers!$N$6:$N$305,InputPlayers!$F$6:$F$305,A69,InputPlayers!$O$6:$O$305,"Да"))</x:f>
      </x:c>
      <x:c r="H69">
        <x:f>IFERROR(G69/D69,"")</x:f>
      </x:c>
    </x:row>
    <x:row r="70">
      <x:c r="A70">
        <x:f>IF(InputPlayers!F71="","",IF(COUNTIF($A$5:A70,InputPlayers!F71)&gt;0,"",InputPlayers!F71))</x:f>
      </x:c>
      <x:c r="B70">
        <x:f>IF(A70="","",XLOOKUP(A70,InputPlayers!$F$6:$F$305,InputPlayers!$G$6:$G$305,""))</x:f>
      </x:c>
      <x:c r="C70">
        <x:f>IF(A70="","",XLOOKUP(A70,InputPlayers!$F$6:$F$305,InputPlayers!$H$6:$H$305,""))</x:f>
      </x:c>
      <x:c r="D70">
        <x:f>IF(A70="","",COUNTIFS(InputPlayers!$F$6:$F$305,A70,InputPlayers!$O$6:$O$305,"Да"))</x:f>
      </x:c>
      <x:c r="E70">
        <x:f>IF(A70="","",SUMIFS(InputPlayers!$I$6:$I$305,InputPlayers!$F$6:$F$305,A70,InputPlayers!$O$6:$O$305,"Да"))</x:f>
      </x:c>
      <x:c r="F70">
        <x:f>IF(A70="","",SUMIFS(InputPlayers!$J$6:$J$305,InputPlayers!$F$6:$F$305,A70,InputPlayers!$O$6:$O$305,"Да"))</x:f>
      </x:c>
      <x:c r="G70">
        <x:f>IF(A70="","",SUMIFS(InputPlayers!$N$6:$N$305,InputPlayers!$F$6:$F$305,A70,InputPlayers!$O$6:$O$305,"Да"))</x:f>
      </x:c>
      <x:c r="H70">
        <x:f>IFERROR(G70/D70,"")</x:f>
      </x:c>
    </x:row>
    <x:row r="71">
      <x:c r="A71">
        <x:f>IF(InputPlayers!F72="","",IF(COUNTIF($A$5:A71,InputPlayers!F72)&gt;0,"",InputPlayers!F72))</x:f>
      </x:c>
      <x:c r="B71">
        <x:f>IF(A71="","",XLOOKUP(A71,InputPlayers!$F$6:$F$305,InputPlayers!$G$6:$G$305,""))</x:f>
      </x:c>
      <x:c r="C71">
        <x:f>IF(A71="","",XLOOKUP(A71,InputPlayers!$F$6:$F$305,InputPlayers!$H$6:$H$305,""))</x:f>
      </x:c>
      <x:c r="D71">
        <x:f>IF(A71="","",COUNTIFS(InputPlayers!$F$6:$F$305,A71,InputPlayers!$O$6:$O$305,"Да"))</x:f>
      </x:c>
      <x:c r="E71">
        <x:f>IF(A71="","",SUMIFS(InputPlayers!$I$6:$I$305,InputPlayers!$F$6:$F$305,A71,InputPlayers!$O$6:$O$305,"Да"))</x:f>
      </x:c>
      <x:c r="F71">
        <x:f>IF(A71="","",SUMIFS(InputPlayers!$J$6:$J$305,InputPlayers!$F$6:$F$305,A71,InputPlayers!$O$6:$O$305,"Да"))</x:f>
      </x:c>
      <x:c r="G71">
        <x:f>IF(A71="","",SUMIFS(InputPlayers!$N$6:$N$305,InputPlayers!$F$6:$F$305,A71,InputPlayers!$O$6:$O$305,"Да"))</x:f>
      </x:c>
      <x:c r="H71">
        <x:f>IFERROR(G71/D71,"")</x:f>
      </x:c>
    </x:row>
    <x:row r="72">
      <x:c r="A72">
        <x:f>IF(InputPlayers!F73="","",IF(COUNTIF($A$5:A72,InputPlayers!F73)&gt;0,"",InputPlayers!F73))</x:f>
      </x:c>
      <x:c r="B72">
        <x:f>IF(A72="","",XLOOKUP(A72,InputPlayers!$F$6:$F$305,InputPlayers!$G$6:$G$305,""))</x:f>
      </x:c>
      <x:c r="C72">
        <x:f>IF(A72="","",XLOOKUP(A72,InputPlayers!$F$6:$F$305,InputPlayers!$H$6:$H$305,""))</x:f>
      </x:c>
      <x:c r="D72">
        <x:f>IF(A72="","",COUNTIFS(InputPlayers!$F$6:$F$305,A72,InputPlayers!$O$6:$O$305,"Да"))</x:f>
      </x:c>
      <x:c r="E72">
        <x:f>IF(A72="","",SUMIFS(InputPlayers!$I$6:$I$305,InputPlayers!$F$6:$F$305,A72,InputPlayers!$O$6:$O$305,"Да"))</x:f>
      </x:c>
      <x:c r="F72">
        <x:f>IF(A72="","",SUMIFS(InputPlayers!$J$6:$J$305,InputPlayers!$F$6:$F$305,A72,InputPlayers!$O$6:$O$305,"Да"))</x:f>
      </x:c>
      <x:c r="G72">
        <x:f>IF(A72="","",SUMIFS(InputPlayers!$N$6:$N$305,InputPlayers!$F$6:$F$305,A72,InputPlayers!$O$6:$O$305,"Да"))</x:f>
      </x:c>
      <x:c r="H72">
        <x:f>IFERROR(G72/D72,"")</x:f>
      </x:c>
    </x:row>
    <x:row r="73">
      <x:c r="A73">
        <x:f>IF(InputPlayers!F74="","",IF(COUNTIF($A$5:A73,InputPlayers!F74)&gt;0,"",InputPlayers!F74))</x:f>
      </x:c>
      <x:c r="B73">
        <x:f>IF(A73="","",XLOOKUP(A73,InputPlayers!$F$6:$F$305,InputPlayers!$G$6:$G$305,""))</x:f>
      </x:c>
      <x:c r="C73">
        <x:f>IF(A73="","",XLOOKUP(A73,InputPlayers!$F$6:$F$305,InputPlayers!$H$6:$H$305,""))</x:f>
      </x:c>
      <x:c r="D73">
        <x:f>IF(A73="","",COUNTIFS(InputPlayers!$F$6:$F$305,A73,InputPlayers!$O$6:$O$305,"Да"))</x:f>
      </x:c>
      <x:c r="E73">
        <x:f>IF(A73="","",SUMIFS(InputPlayers!$I$6:$I$305,InputPlayers!$F$6:$F$305,A73,InputPlayers!$O$6:$O$305,"Да"))</x:f>
      </x:c>
      <x:c r="F73">
        <x:f>IF(A73="","",SUMIFS(InputPlayers!$J$6:$J$305,InputPlayers!$F$6:$F$305,A73,InputPlayers!$O$6:$O$305,"Да"))</x:f>
      </x:c>
      <x:c r="G73">
        <x:f>IF(A73="","",SUMIFS(InputPlayers!$N$6:$N$305,InputPlayers!$F$6:$F$305,A73,InputPlayers!$O$6:$O$305,"Да"))</x:f>
      </x:c>
      <x:c r="H73">
        <x:f>IFERROR(G73/D73,"")</x:f>
      </x:c>
    </x:row>
    <x:row r="74">
      <x:c r="A74">
        <x:f>IF(InputPlayers!F75="","",IF(COUNTIF($A$5:A74,InputPlayers!F75)&gt;0,"",InputPlayers!F75))</x:f>
      </x:c>
      <x:c r="B74">
        <x:f>IF(A74="","",XLOOKUP(A74,InputPlayers!$F$6:$F$305,InputPlayers!$G$6:$G$305,""))</x:f>
      </x:c>
      <x:c r="C74">
        <x:f>IF(A74="","",XLOOKUP(A74,InputPlayers!$F$6:$F$305,InputPlayers!$H$6:$H$305,""))</x:f>
      </x:c>
      <x:c r="D74">
        <x:f>IF(A74="","",COUNTIFS(InputPlayers!$F$6:$F$305,A74,InputPlayers!$O$6:$O$305,"Да"))</x:f>
      </x:c>
      <x:c r="E74">
        <x:f>IF(A74="","",SUMIFS(InputPlayers!$I$6:$I$305,InputPlayers!$F$6:$F$305,A74,InputPlayers!$O$6:$O$305,"Да"))</x:f>
      </x:c>
      <x:c r="F74">
        <x:f>IF(A74="","",SUMIFS(InputPlayers!$J$6:$J$305,InputPlayers!$F$6:$F$305,A74,InputPlayers!$O$6:$O$305,"Да"))</x:f>
      </x:c>
      <x:c r="G74">
        <x:f>IF(A74="","",SUMIFS(InputPlayers!$N$6:$N$305,InputPlayers!$F$6:$F$305,A74,InputPlayers!$O$6:$O$305,"Да"))</x:f>
      </x:c>
      <x:c r="H74">
        <x:f>IFERROR(G74/D74,"")</x:f>
      </x:c>
    </x:row>
    <x:row r="75">
      <x:c r="A75">
        <x:f>IF(InputPlayers!F76="","",IF(COUNTIF($A$5:A75,InputPlayers!F76)&gt;0,"",InputPlayers!F76))</x:f>
      </x:c>
      <x:c r="B75">
        <x:f>IF(A75="","",XLOOKUP(A75,InputPlayers!$F$6:$F$305,InputPlayers!$G$6:$G$305,""))</x:f>
      </x:c>
      <x:c r="C75">
        <x:f>IF(A75="","",XLOOKUP(A75,InputPlayers!$F$6:$F$305,InputPlayers!$H$6:$H$305,""))</x:f>
      </x:c>
      <x:c r="D75">
        <x:f>IF(A75="","",COUNTIFS(InputPlayers!$F$6:$F$305,A75,InputPlayers!$O$6:$O$305,"Да"))</x:f>
      </x:c>
      <x:c r="E75">
        <x:f>IF(A75="","",SUMIFS(InputPlayers!$I$6:$I$305,InputPlayers!$F$6:$F$305,A75,InputPlayers!$O$6:$O$305,"Да"))</x:f>
      </x:c>
      <x:c r="F75">
        <x:f>IF(A75="","",SUMIFS(InputPlayers!$J$6:$J$305,InputPlayers!$F$6:$F$305,A75,InputPlayers!$O$6:$O$305,"Да"))</x:f>
      </x:c>
      <x:c r="G75">
        <x:f>IF(A75="","",SUMIFS(InputPlayers!$N$6:$N$305,InputPlayers!$F$6:$F$305,A75,InputPlayers!$O$6:$O$305,"Да"))</x:f>
      </x:c>
      <x:c r="H75">
        <x:f>IFERROR(G75/D75,"")</x:f>
      </x:c>
    </x:row>
    <x:row r="76">
      <x:c r="A76">
        <x:f>IF(InputPlayers!F77="","",IF(COUNTIF($A$5:A76,InputPlayers!F77)&gt;0,"",InputPlayers!F77))</x:f>
      </x:c>
      <x:c r="B76">
        <x:f>IF(A76="","",XLOOKUP(A76,InputPlayers!$F$6:$F$305,InputPlayers!$G$6:$G$305,""))</x:f>
      </x:c>
      <x:c r="C76">
        <x:f>IF(A76="","",XLOOKUP(A76,InputPlayers!$F$6:$F$305,InputPlayers!$H$6:$H$305,""))</x:f>
      </x:c>
      <x:c r="D76">
        <x:f>IF(A76="","",COUNTIFS(InputPlayers!$F$6:$F$305,A76,InputPlayers!$O$6:$O$305,"Да"))</x:f>
      </x:c>
      <x:c r="E76">
        <x:f>IF(A76="","",SUMIFS(InputPlayers!$I$6:$I$305,InputPlayers!$F$6:$F$305,A76,InputPlayers!$O$6:$O$305,"Да"))</x:f>
      </x:c>
      <x:c r="F76">
        <x:f>IF(A76="","",SUMIFS(InputPlayers!$J$6:$J$305,InputPlayers!$F$6:$F$305,A76,InputPlayers!$O$6:$O$305,"Да"))</x:f>
      </x:c>
      <x:c r="G76">
        <x:f>IF(A76="","",SUMIFS(InputPlayers!$N$6:$N$305,InputPlayers!$F$6:$F$305,A76,InputPlayers!$O$6:$O$305,"Да"))</x:f>
      </x:c>
      <x:c r="H76">
        <x:f>IFERROR(G76/D76,"")</x:f>
      </x:c>
    </x:row>
    <x:row r="77">
      <x:c r="A77">
        <x:f>IF(InputPlayers!F78="","",IF(COUNTIF($A$5:A77,InputPlayers!F78)&gt;0,"",InputPlayers!F78))</x:f>
      </x:c>
      <x:c r="B77">
        <x:f>IF(A77="","",XLOOKUP(A77,InputPlayers!$F$6:$F$305,InputPlayers!$G$6:$G$305,""))</x:f>
      </x:c>
      <x:c r="C77">
        <x:f>IF(A77="","",XLOOKUP(A77,InputPlayers!$F$6:$F$305,InputPlayers!$H$6:$H$305,""))</x:f>
      </x:c>
      <x:c r="D77">
        <x:f>IF(A77="","",COUNTIFS(InputPlayers!$F$6:$F$305,A77,InputPlayers!$O$6:$O$305,"Да"))</x:f>
      </x:c>
      <x:c r="E77">
        <x:f>IF(A77="","",SUMIFS(InputPlayers!$I$6:$I$305,InputPlayers!$F$6:$F$305,A77,InputPlayers!$O$6:$O$305,"Да"))</x:f>
      </x:c>
      <x:c r="F77">
        <x:f>IF(A77="","",SUMIFS(InputPlayers!$J$6:$J$305,InputPlayers!$F$6:$F$305,A77,InputPlayers!$O$6:$O$305,"Да"))</x:f>
      </x:c>
      <x:c r="G77">
        <x:f>IF(A77="","",SUMIFS(InputPlayers!$N$6:$N$305,InputPlayers!$F$6:$F$305,A77,InputPlayers!$O$6:$O$305,"Да"))</x:f>
      </x:c>
      <x:c r="H77">
        <x:f>IFERROR(G77/D77,"")</x:f>
      </x:c>
    </x:row>
    <x:row r="78">
      <x:c r="A78">
        <x:f>IF(InputPlayers!F79="","",IF(COUNTIF($A$5:A78,InputPlayers!F79)&gt;0,"",InputPlayers!F79))</x:f>
      </x:c>
      <x:c r="B78">
        <x:f>IF(A78="","",XLOOKUP(A78,InputPlayers!$F$6:$F$305,InputPlayers!$G$6:$G$305,""))</x:f>
      </x:c>
      <x:c r="C78">
        <x:f>IF(A78="","",XLOOKUP(A78,InputPlayers!$F$6:$F$305,InputPlayers!$H$6:$H$305,""))</x:f>
      </x:c>
      <x:c r="D78">
        <x:f>IF(A78="","",COUNTIFS(InputPlayers!$F$6:$F$305,A78,InputPlayers!$O$6:$O$305,"Да"))</x:f>
      </x:c>
      <x:c r="E78">
        <x:f>IF(A78="","",SUMIFS(InputPlayers!$I$6:$I$305,InputPlayers!$F$6:$F$305,A78,InputPlayers!$O$6:$O$305,"Да"))</x:f>
      </x:c>
      <x:c r="F78">
        <x:f>IF(A78="","",SUMIFS(InputPlayers!$J$6:$J$305,InputPlayers!$F$6:$F$305,A78,InputPlayers!$O$6:$O$305,"Да"))</x:f>
      </x:c>
      <x:c r="G78">
        <x:f>IF(A78="","",SUMIFS(InputPlayers!$N$6:$N$305,InputPlayers!$F$6:$F$305,A78,InputPlayers!$O$6:$O$305,"Да"))</x:f>
      </x:c>
      <x:c r="H78">
        <x:f>IFERROR(G78/D78,"")</x:f>
      </x:c>
    </x:row>
    <x:row r="79">
      <x:c r="A79">
        <x:f>IF(InputPlayers!F80="","",IF(COUNTIF($A$5:A79,InputPlayers!F80)&gt;0,"",InputPlayers!F80))</x:f>
      </x:c>
      <x:c r="B79">
        <x:f>IF(A79="","",XLOOKUP(A79,InputPlayers!$F$6:$F$305,InputPlayers!$G$6:$G$305,""))</x:f>
      </x:c>
      <x:c r="C79">
        <x:f>IF(A79="","",XLOOKUP(A79,InputPlayers!$F$6:$F$305,InputPlayers!$H$6:$H$305,""))</x:f>
      </x:c>
      <x:c r="D79">
        <x:f>IF(A79="","",COUNTIFS(InputPlayers!$F$6:$F$305,A79,InputPlayers!$O$6:$O$305,"Да"))</x:f>
      </x:c>
      <x:c r="E79">
        <x:f>IF(A79="","",SUMIFS(InputPlayers!$I$6:$I$305,InputPlayers!$F$6:$F$305,A79,InputPlayers!$O$6:$O$305,"Да"))</x:f>
      </x:c>
      <x:c r="F79">
        <x:f>IF(A79="","",SUMIFS(InputPlayers!$J$6:$J$305,InputPlayers!$F$6:$F$305,A79,InputPlayers!$O$6:$O$305,"Да"))</x:f>
      </x:c>
      <x:c r="G79">
        <x:f>IF(A79="","",SUMIFS(InputPlayers!$N$6:$N$305,InputPlayers!$F$6:$F$305,A79,InputPlayers!$O$6:$O$305,"Да"))</x:f>
      </x:c>
      <x:c r="H79">
        <x:f>IFERROR(G79/D79,"")</x:f>
      </x:c>
    </x:row>
    <x:row r="80">
      <x:c r="A80">
        <x:f>IF(InputPlayers!F81="","",IF(COUNTIF($A$5:A80,InputPlayers!F81)&gt;0,"",InputPlayers!F81))</x:f>
      </x:c>
      <x:c r="B80">
        <x:f>IF(A80="","",XLOOKUP(A80,InputPlayers!$F$6:$F$305,InputPlayers!$G$6:$G$305,""))</x:f>
      </x:c>
      <x:c r="C80">
        <x:f>IF(A80="","",XLOOKUP(A80,InputPlayers!$F$6:$F$305,InputPlayers!$H$6:$H$305,""))</x:f>
      </x:c>
      <x:c r="D80">
        <x:f>IF(A80="","",COUNTIFS(InputPlayers!$F$6:$F$305,A80,InputPlayers!$O$6:$O$305,"Да"))</x:f>
      </x:c>
      <x:c r="E80">
        <x:f>IF(A80="","",SUMIFS(InputPlayers!$I$6:$I$305,InputPlayers!$F$6:$F$305,A80,InputPlayers!$O$6:$O$305,"Да"))</x:f>
      </x:c>
      <x:c r="F80">
        <x:f>IF(A80="","",SUMIFS(InputPlayers!$J$6:$J$305,InputPlayers!$F$6:$F$305,A80,InputPlayers!$O$6:$O$305,"Да"))</x:f>
      </x:c>
      <x:c r="G80">
        <x:f>IF(A80="","",SUMIFS(InputPlayers!$N$6:$N$305,InputPlayers!$F$6:$F$305,A80,InputPlayers!$O$6:$O$305,"Да"))</x:f>
      </x:c>
      <x:c r="H80">
        <x:f>IFERROR(G80/D80,"")</x:f>
      </x:c>
    </x:row>
    <x:row r="81">
      <x:c r="A81">
        <x:f>IF(InputPlayers!F82="","",IF(COUNTIF($A$5:A81,InputPlayers!F82)&gt;0,"",InputPlayers!F82))</x:f>
      </x:c>
      <x:c r="B81">
        <x:f>IF(A81="","",XLOOKUP(A81,InputPlayers!$F$6:$F$305,InputPlayers!$G$6:$G$305,""))</x:f>
      </x:c>
      <x:c r="C81">
        <x:f>IF(A81="","",XLOOKUP(A81,InputPlayers!$F$6:$F$305,InputPlayers!$H$6:$H$305,""))</x:f>
      </x:c>
      <x:c r="D81">
        <x:f>IF(A81="","",COUNTIFS(InputPlayers!$F$6:$F$305,A81,InputPlayers!$O$6:$O$305,"Да"))</x:f>
      </x:c>
      <x:c r="E81">
        <x:f>IF(A81="","",SUMIFS(InputPlayers!$I$6:$I$305,InputPlayers!$F$6:$F$305,A81,InputPlayers!$O$6:$O$305,"Да"))</x:f>
      </x:c>
      <x:c r="F81">
        <x:f>IF(A81="","",SUMIFS(InputPlayers!$J$6:$J$305,InputPlayers!$F$6:$F$305,A81,InputPlayers!$O$6:$O$305,"Да"))</x:f>
      </x:c>
      <x:c r="G81">
        <x:f>IF(A81="","",SUMIFS(InputPlayers!$N$6:$N$305,InputPlayers!$F$6:$F$305,A81,InputPlayers!$O$6:$O$305,"Да"))</x:f>
      </x:c>
      <x:c r="H81">
        <x:f>IFERROR(G81/D81,"")</x:f>
      </x:c>
    </x:row>
    <x:row r="82">
      <x:c r="A82">
        <x:f>IF(InputPlayers!F83="","",IF(COUNTIF($A$5:A82,InputPlayers!F83)&gt;0,"",InputPlayers!F83))</x:f>
      </x:c>
      <x:c r="B82">
        <x:f>IF(A82="","",XLOOKUP(A82,InputPlayers!$F$6:$F$305,InputPlayers!$G$6:$G$305,""))</x:f>
      </x:c>
      <x:c r="C82">
        <x:f>IF(A82="","",XLOOKUP(A82,InputPlayers!$F$6:$F$305,InputPlayers!$H$6:$H$305,""))</x:f>
      </x:c>
      <x:c r="D82">
        <x:f>IF(A82="","",COUNTIFS(InputPlayers!$F$6:$F$305,A82,InputPlayers!$O$6:$O$305,"Да"))</x:f>
      </x:c>
      <x:c r="E82">
        <x:f>IF(A82="","",SUMIFS(InputPlayers!$I$6:$I$305,InputPlayers!$F$6:$F$305,A82,InputPlayers!$O$6:$O$305,"Да"))</x:f>
      </x:c>
      <x:c r="F82">
        <x:f>IF(A82="","",SUMIFS(InputPlayers!$J$6:$J$305,InputPlayers!$F$6:$F$305,A82,InputPlayers!$O$6:$O$305,"Да"))</x:f>
      </x:c>
      <x:c r="G82">
        <x:f>IF(A82="","",SUMIFS(InputPlayers!$N$6:$N$305,InputPlayers!$F$6:$F$305,A82,InputPlayers!$O$6:$O$305,"Да"))</x:f>
      </x:c>
      <x:c r="H82">
        <x:f>IFERROR(G82/D82,"")</x:f>
      </x:c>
    </x:row>
    <x:row r="83">
      <x:c r="A83">
        <x:f>IF(InputPlayers!F84="","",IF(COUNTIF($A$5:A83,InputPlayers!F84)&gt;0,"",InputPlayers!F84))</x:f>
      </x:c>
      <x:c r="B83">
        <x:f>IF(A83="","",XLOOKUP(A83,InputPlayers!$F$6:$F$305,InputPlayers!$G$6:$G$305,""))</x:f>
      </x:c>
      <x:c r="C83">
        <x:f>IF(A83="","",XLOOKUP(A83,InputPlayers!$F$6:$F$305,InputPlayers!$H$6:$H$305,""))</x:f>
      </x:c>
      <x:c r="D83">
        <x:f>IF(A83="","",COUNTIFS(InputPlayers!$F$6:$F$305,A83,InputPlayers!$O$6:$O$305,"Да"))</x:f>
      </x:c>
      <x:c r="E83">
        <x:f>IF(A83="","",SUMIFS(InputPlayers!$I$6:$I$305,InputPlayers!$F$6:$F$305,A83,InputPlayers!$O$6:$O$305,"Да"))</x:f>
      </x:c>
      <x:c r="F83">
        <x:f>IF(A83="","",SUMIFS(InputPlayers!$J$6:$J$305,InputPlayers!$F$6:$F$305,A83,InputPlayers!$O$6:$O$305,"Да"))</x:f>
      </x:c>
      <x:c r="G83">
        <x:f>IF(A83="","",SUMIFS(InputPlayers!$N$6:$N$305,InputPlayers!$F$6:$F$305,A83,InputPlayers!$O$6:$O$305,"Да"))</x:f>
      </x:c>
      <x:c r="H83">
        <x:f>IFERROR(G83/D83,"")</x:f>
      </x:c>
    </x:row>
    <x:row r="84">
      <x:c r="A84">
        <x:f>IF(InputPlayers!F85="","",IF(COUNTIF($A$5:A84,InputPlayers!F85)&gt;0,"",InputPlayers!F85))</x:f>
      </x:c>
      <x:c r="B84">
        <x:f>IF(A84="","",XLOOKUP(A84,InputPlayers!$F$6:$F$305,InputPlayers!$G$6:$G$305,""))</x:f>
      </x:c>
      <x:c r="C84">
        <x:f>IF(A84="","",XLOOKUP(A84,InputPlayers!$F$6:$F$305,InputPlayers!$H$6:$H$305,""))</x:f>
      </x:c>
      <x:c r="D84">
        <x:f>IF(A84="","",COUNTIFS(InputPlayers!$F$6:$F$305,A84,InputPlayers!$O$6:$O$305,"Да"))</x:f>
      </x:c>
      <x:c r="E84">
        <x:f>IF(A84="","",SUMIFS(InputPlayers!$I$6:$I$305,InputPlayers!$F$6:$F$305,A84,InputPlayers!$O$6:$O$305,"Да"))</x:f>
      </x:c>
      <x:c r="F84">
        <x:f>IF(A84="","",SUMIFS(InputPlayers!$J$6:$J$305,InputPlayers!$F$6:$F$305,A84,InputPlayers!$O$6:$O$305,"Да"))</x:f>
      </x:c>
      <x:c r="G84">
        <x:f>IF(A84="","",SUMIFS(InputPlayers!$N$6:$N$305,InputPlayers!$F$6:$F$305,A84,InputPlayers!$O$6:$O$305,"Да"))</x:f>
      </x:c>
      <x:c r="H84">
        <x:f>IFERROR(G84/D84,"")</x:f>
      </x:c>
    </x:row>
    <x:row r="85">
      <x:c r="A85">
        <x:f>IF(InputPlayers!F86="","",IF(COUNTIF($A$5:A85,InputPlayers!F86)&gt;0,"",InputPlayers!F86))</x:f>
      </x:c>
      <x:c r="B85">
        <x:f>IF(A85="","",XLOOKUP(A85,InputPlayers!$F$6:$F$305,InputPlayers!$G$6:$G$305,""))</x:f>
      </x:c>
      <x:c r="C85">
        <x:f>IF(A85="","",XLOOKUP(A85,InputPlayers!$F$6:$F$305,InputPlayers!$H$6:$H$305,""))</x:f>
      </x:c>
      <x:c r="D85">
        <x:f>IF(A85="","",COUNTIFS(InputPlayers!$F$6:$F$305,A85,InputPlayers!$O$6:$O$305,"Да"))</x:f>
      </x:c>
      <x:c r="E85">
        <x:f>IF(A85="","",SUMIFS(InputPlayers!$I$6:$I$305,InputPlayers!$F$6:$F$305,A85,InputPlayers!$O$6:$O$305,"Да"))</x:f>
      </x:c>
      <x:c r="F85">
        <x:f>IF(A85="","",SUMIFS(InputPlayers!$J$6:$J$305,InputPlayers!$F$6:$F$305,A85,InputPlayers!$O$6:$O$305,"Да"))</x:f>
      </x:c>
      <x:c r="G85">
        <x:f>IF(A85="","",SUMIFS(InputPlayers!$N$6:$N$305,InputPlayers!$F$6:$F$305,A85,InputPlayers!$O$6:$O$305,"Да"))</x:f>
      </x:c>
      <x:c r="H85">
        <x:f>IFERROR(G85/D85,"")</x:f>
      </x:c>
    </x:row>
    <x:row r="86">
      <x:c r="A86">
        <x:f>IF(InputPlayers!F87="","",IF(COUNTIF($A$5:A86,InputPlayers!F87)&gt;0,"",InputPlayers!F87))</x:f>
      </x:c>
      <x:c r="B86">
        <x:f>IF(A86="","",XLOOKUP(A86,InputPlayers!$F$6:$F$305,InputPlayers!$G$6:$G$305,""))</x:f>
      </x:c>
      <x:c r="C86">
        <x:f>IF(A86="","",XLOOKUP(A86,InputPlayers!$F$6:$F$305,InputPlayers!$H$6:$H$305,""))</x:f>
      </x:c>
      <x:c r="D86">
        <x:f>IF(A86="","",COUNTIFS(InputPlayers!$F$6:$F$305,A86,InputPlayers!$O$6:$O$305,"Да"))</x:f>
      </x:c>
      <x:c r="E86">
        <x:f>IF(A86="","",SUMIFS(InputPlayers!$I$6:$I$305,InputPlayers!$F$6:$F$305,A86,InputPlayers!$O$6:$O$305,"Да"))</x:f>
      </x:c>
      <x:c r="F86">
        <x:f>IF(A86="","",SUMIFS(InputPlayers!$J$6:$J$305,InputPlayers!$F$6:$F$305,A86,InputPlayers!$O$6:$O$305,"Да"))</x:f>
      </x:c>
      <x:c r="G86">
        <x:f>IF(A86="","",SUMIFS(InputPlayers!$N$6:$N$305,InputPlayers!$F$6:$F$305,A86,InputPlayers!$O$6:$O$305,"Да"))</x:f>
      </x:c>
      <x:c r="H86">
        <x:f>IFERROR(G86/D86,"")</x:f>
      </x:c>
    </x:row>
    <x:row r="87">
      <x:c r="A87">
        <x:f>IF(InputPlayers!F88="","",IF(COUNTIF($A$5:A87,InputPlayers!F88)&gt;0,"",InputPlayers!F88))</x:f>
      </x:c>
      <x:c r="B87">
        <x:f>IF(A87="","",XLOOKUP(A87,InputPlayers!$F$6:$F$305,InputPlayers!$G$6:$G$305,""))</x:f>
      </x:c>
      <x:c r="C87">
        <x:f>IF(A87="","",XLOOKUP(A87,InputPlayers!$F$6:$F$305,InputPlayers!$H$6:$H$305,""))</x:f>
      </x:c>
      <x:c r="D87">
        <x:f>IF(A87="","",COUNTIFS(InputPlayers!$F$6:$F$305,A87,InputPlayers!$O$6:$O$305,"Да"))</x:f>
      </x:c>
      <x:c r="E87">
        <x:f>IF(A87="","",SUMIFS(InputPlayers!$I$6:$I$305,InputPlayers!$F$6:$F$305,A87,InputPlayers!$O$6:$O$305,"Да"))</x:f>
      </x:c>
      <x:c r="F87">
        <x:f>IF(A87="","",SUMIFS(InputPlayers!$J$6:$J$305,InputPlayers!$F$6:$F$305,A87,InputPlayers!$O$6:$O$305,"Да"))</x:f>
      </x:c>
      <x:c r="G87">
        <x:f>IF(A87="","",SUMIFS(InputPlayers!$N$6:$N$305,InputPlayers!$F$6:$F$305,A87,InputPlayers!$O$6:$O$305,"Да"))</x:f>
      </x:c>
      <x:c r="H87">
        <x:f>IFERROR(G87/D87,"")</x:f>
      </x:c>
    </x:row>
    <x:row r="88">
      <x:c r="A88">
        <x:f>IF(InputPlayers!F89="","",IF(COUNTIF($A$5:A88,InputPlayers!F89)&gt;0,"",InputPlayers!F89))</x:f>
      </x:c>
      <x:c r="B88">
        <x:f>IF(A88="","",XLOOKUP(A88,InputPlayers!$F$6:$F$305,InputPlayers!$G$6:$G$305,""))</x:f>
      </x:c>
      <x:c r="C88">
        <x:f>IF(A88="","",XLOOKUP(A88,InputPlayers!$F$6:$F$305,InputPlayers!$H$6:$H$305,""))</x:f>
      </x:c>
      <x:c r="D88">
        <x:f>IF(A88="","",COUNTIFS(InputPlayers!$F$6:$F$305,A88,InputPlayers!$O$6:$O$305,"Да"))</x:f>
      </x:c>
      <x:c r="E88">
        <x:f>IF(A88="","",SUMIFS(InputPlayers!$I$6:$I$305,InputPlayers!$F$6:$F$305,A88,InputPlayers!$O$6:$O$305,"Да"))</x:f>
      </x:c>
      <x:c r="F88">
        <x:f>IF(A88="","",SUMIFS(InputPlayers!$J$6:$J$305,InputPlayers!$F$6:$F$305,A88,InputPlayers!$O$6:$O$305,"Да"))</x:f>
      </x:c>
      <x:c r="G88">
        <x:f>IF(A88="","",SUMIFS(InputPlayers!$N$6:$N$305,InputPlayers!$F$6:$F$305,A88,InputPlayers!$O$6:$O$305,"Да"))</x:f>
      </x:c>
      <x:c r="H88">
        <x:f>IFERROR(G88/D88,"")</x:f>
      </x:c>
    </x:row>
    <x:row r="89">
      <x:c r="A89">
        <x:f>IF(InputPlayers!F90="","",IF(COUNTIF($A$5:A89,InputPlayers!F90)&gt;0,"",InputPlayers!F90))</x:f>
      </x:c>
      <x:c r="B89">
        <x:f>IF(A89="","",XLOOKUP(A89,InputPlayers!$F$6:$F$305,InputPlayers!$G$6:$G$305,""))</x:f>
      </x:c>
      <x:c r="C89">
        <x:f>IF(A89="","",XLOOKUP(A89,InputPlayers!$F$6:$F$305,InputPlayers!$H$6:$H$305,""))</x:f>
      </x:c>
      <x:c r="D89">
        <x:f>IF(A89="","",COUNTIFS(InputPlayers!$F$6:$F$305,A89,InputPlayers!$O$6:$O$305,"Да"))</x:f>
      </x:c>
      <x:c r="E89">
        <x:f>IF(A89="","",SUMIFS(InputPlayers!$I$6:$I$305,InputPlayers!$F$6:$F$305,A89,InputPlayers!$O$6:$O$305,"Да"))</x:f>
      </x:c>
      <x:c r="F89">
        <x:f>IF(A89="","",SUMIFS(InputPlayers!$J$6:$J$305,InputPlayers!$F$6:$F$305,A89,InputPlayers!$O$6:$O$305,"Да"))</x:f>
      </x:c>
      <x:c r="G89">
        <x:f>IF(A89="","",SUMIFS(InputPlayers!$N$6:$N$305,InputPlayers!$F$6:$F$305,A89,InputPlayers!$O$6:$O$305,"Да"))</x:f>
      </x:c>
      <x:c r="H89">
        <x:f>IFERROR(G89/D89,"")</x:f>
      </x:c>
    </x:row>
    <x:row r="90">
      <x:c r="A90">
        <x:f>IF(InputPlayers!F91="","",IF(COUNTIF($A$5:A90,InputPlayers!F91)&gt;0,"",InputPlayers!F91))</x:f>
      </x:c>
      <x:c r="B90">
        <x:f>IF(A90="","",XLOOKUP(A90,InputPlayers!$F$6:$F$305,InputPlayers!$G$6:$G$305,""))</x:f>
      </x:c>
      <x:c r="C90">
        <x:f>IF(A90="","",XLOOKUP(A90,InputPlayers!$F$6:$F$305,InputPlayers!$H$6:$H$305,""))</x:f>
      </x:c>
      <x:c r="D90">
        <x:f>IF(A90="","",COUNTIFS(InputPlayers!$F$6:$F$305,A90,InputPlayers!$O$6:$O$305,"Да"))</x:f>
      </x:c>
      <x:c r="E90">
        <x:f>IF(A90="","",SUMIFS(InputPlayers!$I$6:$I$305,InputPlayers!$F$6:$F$305,A90,InputPlayers!$O$6:$O$305,"Да"))</x:f>
      </x:c>
      <x:c r="F90">
        <x:f>IF(A90="","",SUMIFS(InputPlayers!$J$6:$J$305,InputPlayers!$F$6:$F$305,A90,InputPlayers!$O$6:$O$305,"Да"))</x:f>
      </x:c>
      <x:c r="G90">
        <x:f>IF(A90="","",SUMIFS(InputPlayers!$N$6:$N$305,InputPlayers!$F$6:$F$305,A90,InputPlayers!$O$6:$O$305,"Да"))</x:f>
      </x:c>
      <x:c r="H90">
        <x:f>IFERROR(G90/D90,"")</x:f>
      </x:c>
    </x:row>
    <x:row r="91">
      <x:c r="A91">
        <x:f>IF(InputPlayers!F92="","",IF(COUNTIF($A$5:A91,InputPlayers!F92)&gt;0,"",InputPlayers!F92))</x:f>
      </x:c>
      <x:c r="B91">
        <x:f>IF(A91="","",XLOOKUP(A91,InputPlayers!$F$6:$F$305,InputPlayers!$G$6:$G$305,""))</x:f>
      </x:c>
      <x:c r="C91">
        <x:f>IF(A91="","",XLOOKUP(A91,InputPlayers!$F$6:$F$305,InputPlayers!$H$6:$H$305,""))</x:f>
      </x:c>
      <x:c r="D91">
        <x:f>IF(A91="","",COUNTIFS(InputPlayers!$F$6:$F$305,A91,InputPlayers!$O$6:$O$305,"Да"))</x:f>
      </x:c>
      <x:c r="E91">
        <x:f>IF(A91="","",SUMIFS(InputPlayers!$I$6:$I$305,InputPlayers!$F$6:$F$305,A91,InputPlayers!$O$6:$O$305,"Да"))</x:f>
      </x:c>
      <x:c r="F91">
        <x:f>IF(A91="","",SUMIFS(InputPlayers!$J$6:$J$305,InputPlayers!$F$6:$F$305,A91,InputPlayers!$O$6:$O$305,"Да"))</x:f>
      </x:c>
      <x:c r="G91">
        <x:f>IF(A91="","",SUMIFS(InputPlayers!$N$6:$N$305,InputPlayers!$F$6:$F$305,A91,InputPlayers!$O$6:$O$305,"Да"))</x:f>
      </x:c>
      <x:c r="H91">
        <x:f>IFERROR(G91/D91,"")</x:f>
      </x:c>
    </x:row>
    <x:row r="92">
      <x:c r="A92">
        <x:f>IF(InputPlayers!F93="","",IF(COUNTIF($A$5:A92,InputPlayers!F93)&gt;0,"",InputPlayers!F93))</x:f>
      </x:c>
      <x:c r="B92">
        <x:f>IF(A92="","",XLOOKUP(A92,InputPlayers!$F$6:$F$305,InputPlayers!$G$6:$G$305,""))</x:f>
      </x:c>
      <x:c r="C92">
        <x:f>IF(A92="","",XLOOKUP(A92,InputPlayers!$F$6:$F$305,InputPlayers!$H$6:$H$305,""))</x:f>
      </x:c>
      <x:c r="D92">
        <x:f>IF(A92="","",COUNTIFS(InputPlayers!$F$6:$F$305,A92,InputPlayers!$O$6:$O$305,"Да"))</x:f>
      </x:c>
      <x:c r="E92">
        <x:f>IF(A92="","",SUMIFS(InputPlayers!$I$6:$I$305,InputPlayers!$F$6:$F$305,A92,InputPlayers!$O$6:$O$305,"Да"))</x:f>
      </x:c>
      <x:c r="F92">
        <x:f>IF(A92="","",SUMIFS(InputPlayers!$J$6:$J$305,InputPlayers!$F$6:$F$305,A92,InputPlayers!$O$6:$O$305,"Да"))</x:f>
      </x:c>
      <x:c r="G92">
        <x:f>IF(A92="","",SUMIFS(InputPlayers!$N$6:$N$305,InputPlayers!$F$6:$F$305,A92,InputPlayers!$O$6:$O$305,"Да"))</x:f>
      </x:c>
      <x:c r="H92">
        <x:f>IFERROR(G92/D92,"")</x:f>
      </x:c>
    </x:row>
    <x:row r="93">
      <x:c r="A93">
        <x:f>IF(InputPlayers!F94="","",IF(COUNTIF($A$5:A93,InputPlayers!F94)&gt;0,"",InputPlayers!F94))</x:f>
      </x:c>
      <x:c r="B93">
        <x:f>IF(A93="","",XLOOKUP(A93,InputPlayers!$F$6:$F$305,InputPlayers!$G$6:$G$305,""))</x:f>
      </x:c>
      <x:c r="C93">
        <x:f>IF(A93="","",XLOOKUP(A93,InputPlayers!$F$6:$F$305,InputPlayers!$H$6:$H$305,""))</x:f>
      </x:c>
      <x:c r="D93">
        <x:f>IF(A93="","",COUNTIFS(InputPlayers!$F$6:$F$305,A93,InputPlayers!$O$6:$O$305,"Да"))</x:f>
      </x:c>
      <x:c r="E93">
        <x:f>IF(A93="","",SUMIFS(InputPlayers!$I$6:$I$305,InputPlayers!$F$6:$F$305,A93,InputPlayers!$O$6:$O$305,"Да"))</x:f>
      </x:c>
      <x:c r="F93">
        <x:f>IF(A93="","",SUMIFS(InputPlayers!$J$6:$J$305,InputPlayers!$F$6:$F$305,A93,InputPlayers!$O$6:$O$305,"Да"))</x:f>
      </x:c>
      <x:c r="G93">
        <x:f>IF(A93="","",SUMIFS(InputPlayers!$N$6:$N$305,InputPlayers!$F$6:$F$305,A93,InputPlayers!$O$6:$O$305,"Да"))</x:f>
      </x:c>
      <x:c r="H93">
        <x:f>IFERROR(G93/D93,"")</x:f>
      </x:c>
    </x:row>
    <x:row r="94">
      <x:c r="A94">
        <x:f>IF(InputPlayers!F95="","",IF(COUNTIF($A$5:A94,InputPlayers!F95)&gt;0,"",InputPlayers!F95))</x:f>
      </x:c>
      <x:c r="B94">
        <x:f>IF(A94="","",XLOOKUP(A94,InputPlayers!$F$6:$F$305,InputPlayers!$G$6:$G$305,""))</x:f>
      </x:c>
      <x:c r="C94">
        <x:f>IF(A94="","",XLOOKUP(A94,InputPlayers!$F$6:$F$305,InputPlayers!$H$6:$H$305,""))</x:f>
      </x:c>
      <x:c r="D94">
        <x:f>IF(A94="","",COUNTIFS(InputPlayers!$F$6:$F$305,A94,InputPlayers!$O$6:$O$305,"Да"))</x:f>
      </x:c>
      <x:c r="E94">
        <x:f>IF(A94="","",SUMIFS(InputPlayers!$I$6:$I$305,InputPlayers!$F$6:$F$305,A94,InputPlayers!$O$6:$O$305,"Да"))</x:f>
      </x:c>
      <x:c r="F94">
        <x:f>IF(A94="","",SUMIFS(InputPlayers!$J$6:$J$305,InputPlayers!$F$6:$F$305,A94,InputPlayers!$O$6:$O$305,"Да"))</x:f>
      </x:c>
      <x:c r="G94">
        <x:f>IF(A94="","",SUMIFS(InputPlayers!$N$6:$N$305,InputPlayers!$F$6:$F$305,A94,InputPlayers!$O$6:$O$305,"Да"))</x:f>
      </x:c>
      <x:c r="H94">
        <x:f>IFERROR(G94/D94,"")</x:f>
      </x:c>
    </x:row>
    <x:row r="95">
      <x:c r="A95">
        <x:f>IF(InputPlayers!F96="","",IF(COUNTIF($A$5:A95,InputPlayers!F96)&gt;0,"",InputPlayers!F96))</x:f>
      </x:c>
      <x:c r="B95">
        <x:f>IF(A95="","",XLOOKUP(A95,InputPlayers!$F$6:$F$305,InputPlayers!$G$6:$G$305,""))</x:f>
      </x:c>
      <x:c r="C95">
        <x:f>IF(A95="","",XLOOKUP(A95,InputPlayers!$F$6:$F$305,InputPlayers!$H$6:$H$305,""))</x:f>
      </x:c>
      <x:c r="D95">
        <x:f>IF(A95="","",COUNTIFS(InputPlayers!$F$6:$F$305,A95,InputPlayers!$O$6:$O$305,"Да"))</x:f>
      </x:c>
      <x:c r="E95">
        <x:f>IF(A95="","",SUMIFS(InputPlayers!$I$6:$I$305,InputPlayers!$F$6:$F$305,A95,InputPlayers!$O$6:$O$305,"Да"))</x:f>
      </x:c>
      <x:c r="F95">
        <x:f>IF(A95="","",SUMIFS(InputPlayers!$J$6:$J$305,InputPlayers!$F$6:$F$305,A95,InputPlayers!$O$6:$O$305,"Да"))</x:f>
      </x:c>
      <x:c r="G95">
        <x:f>IF(A95="","",SUMIFS(InputPlayers!$N$6:$N$305,InputPlayers!$F$6:$F$305,A95,InputPlayers!$O$6:$O$305,"Да"))</x:f>
      </x:c>
      <x:c r="H95">
        <x:f>IFERROR(G95/D95,"")</x:f>
      </x:c>
    </x:row>
    <x:row r="96">
      <x:c r="A96">
        <x:f>IF(InputPlayers!F97="","",IF(COUNTIF($A$5:A96,InputPlayers!F97)&gt;0,"",InputPlayers!F97))</x:f>
      </x:c>
      <x:c r="B96">
        <x:f>IF(A96="","",XLOOKUP(A96,InputPlayers!$F$6:$F$305,InputPlayers!$G$6:$G$305,""))</x:f>
      </x:c>
      <x:c r="C96">
        <x:f>IF(A96="","",XLOOKUP(A96,InputPlayers!$F$6:$F$305,InputPlayers!$H$6:$H$305,""))</x:f>
      </x:c>
      <x:c r="D96">
        <x:f>IF(A96="","",COUNTIFS(InputPlayers!$F$6:$F$305,A96,InputPlayers!$O$6:$O$305,"Да"))</x:f>
      </x:c>
      <x:c r="E96">
        <x:f>IF(A96="","",SUMIFS(InputPlayers!$I$6:$I$305,InputPlayers!$F$6:$F$305,A96,InputPlayers!$O$6:$O$305,"Да"))</x:f>
      </x:c>
      <x:c r="F96">
        <x:f>IF(A96="","",SUMIFS(InputPlayers!$J$6:$J$305,InputPlayers!$F$6:$F$305,A96,InputPlayers!$O$6:$O$305,"Да"))</x:f>
      </x:c>
      <x:c r="G96">
        <x:f>IF(A96="","",SUMIFS(InputPlayers!$N$6:$N$305,InputPlayers!$F$6:$F$305,A96,InputPlayers!$O$6:$O$305,"Да"))</x:f>
      </x:c>
      <x:c r="H96">
        <x:f>IFERROR(G96/D96,"")</x:f>
      </x:c>
    </x:row>
    <x:row r="97">
      <x:c r="A97">
        <x:f>IF(InputPlayers!F98="","",IF(COUNTIF($A$5:A97,InputPlayers!F98)&gt;0,"",InputPlayers!F98))</x:f>
      </x:c>
      <x:c r="B97">
        <x:f>IF(A97="","",XLOOKUP(A97,InputPlayers!$F$6:$F$305,InputPlayers!$G$6:$G$305,""))</x:f>
      </x:c>
      <x:c r="C97">
        <x:f>IF(A97="","",XLOOKUP(A97,InputPlayers!$F$6:$F$305,InputPlayers!$H$6:$H$305,""))</x:f>
      </x:c>
      <x:c r="D97">
        <x:f>IF(A97="","",COUNTIFS(InputPlayers!$F$6:$F$305,A97,InputPlayers!$O$6:$O$305,"Да"))</x:f>
      </x:c>
      <x:c r="E97">
        <x:f>IF(A97="","",SUMIFS(InputPlayers!$I$6:$I$305,InputPlayers!$F$6:$F$305,A97,InputPlayers!$O$6:$O$305,"Да"))</x:f>
      </x:c>
      <x:c r="F97">
        <x:f>IF(A97="","",SUMIFS(InputPlayers!$J$6:$J$305,InputPlayers!$F$6:$F$305,A97,InputPlayers!$O$6:$O$305,"Да"))</x:f>
      </x:c>
      <x:c r="G97">
        <x:f>IF(A97="","",SUMIFS(InputPlayers!$N$6:$N$305,InputPlayers!$F$6:$F$305,A97,InputPlayers!$O$6:$O$305,"Да"))</x:f>
      </x:c>
      <x:c r="H97">
        <x:f>IFERROR(G97/D97,"")</x:f>
      </x:c>
    </x:row>
    <x:row r="98">
      <x:c r="A98">
        <x:f>IF(InputPlayers!F99="","",IF(COUNTIF($A$5:A98,InputPlayers!F99)&gt;0,"",InputPlayers!F99))</x:f>
      </x:c>
      <x:c r="B98">
        <x:f>IF(A98="","",XLOOKUP(A98,InputPlayers!$F$6:$F$305,InputPlayers!$G$6:$G$305,""))</x:f>
      </x:c>
      <x:c r="C98">
        <x:f>IF(A98="","",XLOOKUP(A98,InputPlayers!$F$6:$F$305,InputPlayers!$H$6:$H$305,""))</x:f>
      </x:c>
      <x:c r="D98">
        <x:f>IF(A98="","",COUNTIFS(InputPlayers!$F$6:$F$305,A98,InputPlayers!$O$6:$O$305,"Да"))</x:f>
      </x:c>
      <x:c r="E98">
        <x:f>IF(A98="","",SUMIFS(InputPlayers!$I$6:$I$305,InputPlayers!$F$6:$F$305,A98,InputPlayers!$O$6:$O$305,"Да"))</x:f>
      </x:c>
      <x:c r="F98">
        <x:f>IF(A98="","",SUMIFS(InputPlayers!$J$6:$J$305,InputPlayers!$F$6:$F$305,A98,InputPlayers!$O$6:$O$305,"Да"))</x:f>
      </x:c>
      <x:c r="G98">
        <x:f>IF(A98="","",SUMIFS(InputPlayers!$N$6:$N$305,InputPlayers!$F$6:$F$305,A98,InputPlayers!$O$6:$O$305,"Да"))</x:f>
      </x:c>
      <x:c r="H98">
        <x:f>IFERROR(G98/D98,"")</x:f>
      </x:c>
    </x:row>
    <x:row r="99">
      <x:c r="A99">
        <x:f>IF(InputPlayers!F100="","",IF(COUNTIF($A$5:A99,InputPlayers!F100)&gt;0,"",InputPlayers!F100))</x:f>
      </x:c>
      <x:c r="B99">
        <x:f>IF(A99="","",XLOOKUP(A99,InputPlayers!$F$6:$F$305,InputPlayers!$G$6:$G$305,""))</x:f>
      </x:c>
      <x:c r="C99">
        <x:f>IF(A99="","",XLOOKUP(A99,InputPlayers!$F$6:$F$305,InputPlayers!$H$6:$H$305,""))</x:f>
      </x:c>
      <x:c r="D99">
        <x:f>IF(A99="","",COUNTIFS(InputPlayers!$F$6:$F$305,A99,InputPlayers!$O$6:$O$305,"Да"))</x:f>
      </x:c>
      <x:c r="E99">
        <x:f>IF(A99="","",SUMIFS(InputPlayers!$I$6:$I$305,InputPlayers!$F$6:$F$305,A99,InputPlayers!$O$6:$O$305,"Да"))</x:f>
      </x:c>
      <x:c r="F99">
        <x:f>IF(A99="","",SUMIFS(InputPlayers!$J$6:$J$305,InputPlayers!$F$6:$F$305,A99,InputPlayers!$O$6:$O$305,"Да"))</x:f>
      </x:c>
      <x:c r="G99">
        <x:f>IF(A99="","",SUMIFS(InputPlayers!$N$6:$N$305,InputPlayers!$F$6:$F$305,A99,InputPlayers!$O$6:$O$305,"Да"))</x:f>
      </x:c>
      <x:c r="H99">
        <x:f>IFERROR(G99/D99,"")</x:f>
      </x:c>
    </x:row>
    <x:row r="100">
      <x:c r="A100">
        <x:f>IF(InputPlayers!F101="","",IF(COUNTIF($A$5:A100,InputPlayers!F101)&gt;0,"",InputPlayers!F101))</x:f>
      </x:c>
      <x:c r="B100">
        <x:f>IF(A100="","",XLOOKUP(A100,InputPlayers!$F$6:$F$305,InputPlayers!$G$6:$G$305,""))</x:f>
      </x:c>
      <x:c r="C100">
        <x:f>IF(A100="","",XLOOKUP(A100,InputPlayers!$F$6:$F$305,InputPlayers!$H$6:$H$305,""))</x:f>
      </x:c>
      <x:c r="D100">
        <x:f>IF(A100="","",COUNTIFS(InputPlayers!$F$6:$F$305,A100,InputPlayers!$O$6:$O$305,"Да"))</x:f>
      </x:c>
      <x:c r="E100">
        <x:f>IF(A100="","",SUMIFS(InputPlayers!$I$6:$I$305,InputPlayers!$F$6:$F$305,A100,InputPlayers!$O$6:$O$305,"Да"))</x:f>
      </x:c>
      <x:c r="F100">
        <x:f>IF(A100="","",SUMIFS(InputPlayers!$J$6:$J$305,InputPlayers!$F$6:$F$305,A100,InputPlayers!$O$6:$O$305,"Да"))</x:f>
      </x:c>
      <x:c r="G100">
        <x:f>IF(A100="","",SUMIFS(InputPlayers!$N$6:$N$305,InputPlayers!$F$6:$F$305,A100,InputPlayers!$O$6:$O$305,"Да"))</x:f>
      </x:c>
      <x:c r="H100">
        <x:f>IFERROR(G100/D100,"")</x:f>
      </x:c>
    </x:row>
    <x:row r="101">
      <x:c r="A101">
        <x:f>IF(InputPlayers!F102="","",IF(COUNTIF($A$5:A101,InputPlayers!F102)&gt;0,"",InputPlayers!F102))</x:f>
      </x:c>
      <x:c r="B101">
        <x:f>IF(A101="","",XLOOKUP(A101,InputPlayers!$F$6:$F$305,InputPlayers!$G$6:$G$305,""))</x:f>
      </x:c>
      <x:c r="C101">
        <x:f>IF(A101="","",XLOOKUP(A101,InputPlayers!$F$6:$F$305,InputPlayers!$H$6:$H$305,""))</x:f>
      </x:c>
      <x:c r="D101">
        <x:f>IF(A101="","",COUNTIFS(InputPlayers!$F$6:$F$305,A101,InputPlayers!$O$6:$O$305,"Да"))</x:f>
      </x:c>
      <x:c r="E101">
        <x:f>IF(A101="","",SUMIFS(InputPlayers!$I$6:$I$305,InputPlayers!$F$6:$F$305,A101,InputPlayers!$O$6:$O$305,"Да"))</x:f>
      </x:c>
      <x:c r="F101">
        <x:f>IF(A101="","",SUMIFS(InputPlayers!$J$6:$J$305,InputPlayers!$F$6:$F$305,A101,InputPlayers!$O$6:$O$305,"Да"))</x:f>
      </x:c>
      <x:c r="G101">
        <x:f>IF(A101="","",SUMIFS(InputPlayers!$N$6:$N$305,InputPlayers!$F$6:$F$305,A101,InputPlayers!$O$6:$O$305,"Да"))</x:f>
      </x:c>
      <x:c r="H101">
        <x:f>IFERROR(G101/D101,"")</x:f>
      </x:c>
    </x:row>
    <x:row r="102">
      <x:c r="A102">
        <x:f>IF(InputPlayers!F103="","",IF(COUNTIF($A$5:A102,InputPlayers!F103)&gt;0,"",InputPlayers!F103))</x:f>
      </x:c>
      <x:c r="B102">
        <x:f>IF(A102="","",XLOOKUP(A102,InputPlayers!$F$6:$F$305,InputPlayers!$G$6:$G$305,""))</x:f>
      </x:c>
      <x:c r="C102">
        <x:f>IF(A102="","",XLOOKUP(A102,InputPlayers!$F$6:$F$305,InputPlayers!$H$6:$H$305,""))</x:f>
      </x:c>
      <x:c r="D102">
        <x:f>IF(A102="","",COUNTIFS(InputPlayers!$F$6:$F$305,A102,InputPlayers!$O$6:$O$305,"Да"))</x:f>
      </x:c>
      <x:c r="E102">
        <x:f>IF(A102="","",SUMIFS(InputPlayers!$I$6:$I$305,InputPlayers!$F$6:$F$305,A102,InputPlayers!$O$6:$O$305,"Да"))</x:f>
      </x:c>
      <x:c r="F102">
        <x:f>IF(A102="","",SUMIFS(InputPlayers!$J$6:$J$305,InputPlayers!$F$6:$F$305,A102,InputPlayers!$O$6:$O$305,"Да"))</x:f>
      </x:c>
      <x:c r="G102">
        <x:f>IF(A102="","",SUMIFS(InputPlayers!$N$6:$N$305,InputPlayers!$F$6:$F$305,A102,InputPlayers!$O$6:$O$305,"Да"))</x:f>
      </x:c>
      <x:c r="H102">
        <x:f>IFERROR(G102/D102,"")</x:f>
      </x:c>
    </x:row>
    <x:row r="103">
      <x:c r="A103">
        <x:f>IF(InputPlayers!F104="","",IF(COUNTIF($A$5:A103,InputPlayers!F104)&gt;0,"",InputPlayers!F104))</x:f>
      </x:c>
      <x:c r="B103">
        <x:f>IF(A103="","",XLOOKUP(A103,InputPlayers!$F$6:$F$305,InputPlayers!$G$6:$G$305,""))</x:f>
      </x:c>
      <x:c r="C103">
        <x:f>IF(A103="","",XLOOKUP(A103,InputPlayers!$F$6:$F$305,InputPlayers!$H$6:$H$305,""))</x:f>
      </x:c>
      <x:c r="D103">
        <x:f>IF(A103="","",COUNTIFS(InputPlayers!$F$6:$F$305,A103,InputPlayers!$O$6:$O$305,"Да"))</x:f>
      </x:c>
      <x:c r="E103">
        <x:f>IF(A103="","",SUMIFS(InputPlayers!$I$6:$I$305,InputPlayers!$F$6:$F$305,A103,InputPlayers!$O$6:$O$305,"Да"))</x:f>
      </x:c>
      <x:c r="F103">
        <x:f>IF(A103="","",SUMIFS(InputPlayers!$J$6:$J$305,InputPlayers!$F$6:$F$305,A103,InputPlayers!$O$6:$O$305,"Да"))</x:f>
      </x:c>
      <x:c r="G103">
        <x:f>IF(A103="","",SUMIFS(InputPlayers!$N$6:$N$305,InputPlayers!$F$6:$F$305,A103,InputPlayers!$O$6:$O$305,"Да"))</x:f>
      </x:c>
      <x:c r="H103">
        <x:f>IFERROR(G103/D103,"")</x:f>
      </x:c>
    </x:row>
    <x:row r="104">
      <x:c r="A104">
        <x:f>IF(InputPlayers!F105="","",IF(COUNTIF($A$5:A104,InputPlayers!F105)&gt;0,"",InputPlayers!F105))</x:f>
      </x:c>
      <x:c r="B104">
        <x:f>IF(A104="","",XLOOKUP(A104,InputPlayers!$F$6:$F$305,InputPlayers!$G$6:$G$305,""))</x:f>
      </x:c>
      <x:c r="C104">
        <x:f>IF(A104="","",XLOOKUP(A104,InputPlayers!$F$6:$F$305,InputPlayers!$H$6:$H$305,""))</x:f>
      </x:c>
      <x:c r="D104">
        <x:f>IF(A104="","",COUNTIFS(InputPlayers!$F$6:$F$305,A104,InputPlayers!$O$6:$O$305,"Да"))</x:f>
      </x:c>
      <x:c r="E104">
        <x:f>IF(A104="","",SUMIFS(InputPlayers!$I$6:$I$305,InputPlayers!$F$6:$F$305,A104,InputPlayers!$O$6:$O$305,"Да"))</x:f>
      </x:c>
      <x:c r="F104">
        <x:f>IF(A104="","",SUMIFS(InputPlayers!$J$6:$J$305,InputPlayers!$F$6:$F$305,A104,InputPlayers!$O$6:$O$305,"Да"))</x:f>
      </x:c>
      <x:c r="G104">
        <x:f>IF(A104="","",SUMIFS(InputPlayers!$N$6:$N$305,InputPlayers!$F$6:$F$305,A104,InputPlayers!$O$6:$O$305,"Да"))</x:f>
      </x:c>
      <x:c r="H104">
        <x:f>IFERROR(G104/D104,"")</x:f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2" customWidth="1"/>
    <x:col min="3" max="3" width="19" customWidth="1"/>
    <x:col min="4" max="4" width="23" customWidth="1"/>
    <x:col min="5" max="5" width="13" customWidth="1"/>
    <x:col min="6" max="6" width="12" customWidth="1"/>
    <x:col min="7" max="7" width="13" customWidth="1"/>
  </x:cols>
  <x:sheetData>
    <x:row r="1" ht="24" customHeight="1">
      <x:c r="A1" s="1" t="inlineStr">
        <x:is>
          <x:t xml:space="preserve">Нормализованные результаты по этапам</x:t>
        </x:is>
      </x:c>
    </x:row>
    <x:row r="2">
      <x:c r="A2" s="7" t="inlineStr">
        <x:is>
          <x:t xml:space="preserve">Участник</x:t>
        </x:is>
      </x:c>
      <x:c r="B2" s="7" t="inlineStr">
        <x:is>
          <x:t xml:space="preserve">Этап</x:t>
        </x:is>
      </x:c>
      <x:c r="C2" s="7" t="inlineStr">
        <x:is>
          <x:t xml:space="preserve">Команда участника</x:t>
        </x:is>
      </x:c>
      <x:c r="D2" s="7" t="inlineStr">
        <x:is>
          <x:t xml:space="preserve">Очки за последний тур</x:t>
        </x:is>
      </x:c>
      <x:c r="E2" s="7" t="inlineStr">
        <x:is>
          <x:t xml:space="preserve">Итого этапа</x:t>
        </x:is>
      </x:c>
      <x:c r="F2" s="7" t="inlineStr">
        <x:is>
          <x:t xml:space="preserve">Срез по</x:t>
        </x:is>
      </x:c>
      <x:c r="G2" s="7" t="inlineStr">
        <x:is>
          <x:t xml:space="preserve">Раунд</x:t>
        </x:is>
      </x:c>
    </x:row>
    <x:row r="3">
      <x:c r="A3" s="20" t="inlineStr">
        <x:is>
          <x:t xml:space="preserve">Женя Космос</x:t>
        </x:is>
      </x:c>
      <x:c r="B3" s="20" t="inlineStr">
        <x:is>
          <x:t xml:space="preserve">Регулярка</x:t>
        </x:is>
      </x:c>
      <x:c r="C3" s="20" t="inlineStr">
        <x:is>
          <x:t xml:space="preserve"/>
        </x:is>
      </x:c>
      <x:c r="D3" s="21" t="n">
        <x:v>8</x:v>
      </x:c>
      <x:c r="E3" s="21" t="n">
        <x:v>73</x:v>
      </x:c>
      <x:c r="F3" s="25" t="inlineStr">
        <x:is>
          <x:t xml:space="preserve">18.01.2026</x:t>
        </x:is>
      </x:c>
      <x:c r="G3" s="20" t="inlineStr">
        <x:is>
          <x:t xml:space="preserve">04.12-05.12</x:t>
        </x:is>
      </x:c>
    </x:row>
    <x:row r="4">
      <x:c r="A4" s="20" t="inlineStr">
        <x:is>
          <x:t xml:space="preserve">Александр</x:t>
        </x:is>
      </x:c>
      <x:c r="B4" s="20" t="inlineStr">
        <x:is>
          <x:t xml:space="preserve">Регулярка</x:t>
        </x:is>
      </x:c>
      <x:c r="C4" s="20" t="inlineStr">
        <x:is>
          <x:t xml:space="preserve"/>
        </x:is>
      </x:c>
      <x:c r="D4" s="21" t="n">
        <x:v>4</x:v>
      </x:c>
      <x:c r="E4" s="21" t="n">
        <x:v>57</x:v>
      </x:c>
      <x:c r="F4" s="25" t="inlineStr">
        <x:is>
          <x:t xml:space="preserve">18.01.2026</x:t>
        </x:is>
      </x:c>
      <x:c r="G4" s="20" t="inlineStr">
        <x:is>
          <x:t xml:space="preserve">04.12-05.12</x:t>
        </x:is>
      </x:c>
    </x:row>
    <x:row r="5">
      <x:c r="A5" s="20" t="inlineStr">
        <x:is>
          <x:t xml:space="preserve">КатяБет</x:t>
        </x:is>
      </x:c>
      <x:c r="B5" s="20" t="inlineStr">
        <x:is>
          <x:t xml:space="preserve">Регулярка</x:t>
        </x:is>
      </x:c>
      <x:c r="C5" s="20" t="inlineStr">
        <x:is>
          <x:t xml:space="preserve"/>
        </x:is>
      </x:c>
      <x:c r="D5" s="21" t="n">
        <x:v>9</x:v>
      </x:c>
      <x:c r="E5" s="21" t="n">
        <x:v>77</x:v>
      </x:c>
      <x:c r="F5" s="25" t="inlineStr">
        <x:is>
          <x:t xml:space="preserve">18.01.2026</x:t>
        </x:is>
      </x:c>
      <x:c r="G5" s="20" t="inlineStr">
        <x:is>
          <x:t xml:space="preserve">04.12-05.12</x:t>
        </x:is>
      </x:c>
    </x:row>
    <x:row r="6">
      <x:c r="A6" s="20" t="inlineStr">
        <x:is>
          <x:t xml:space="preserve">Яна</x:t>
        </x:is>
      </x:c>
      <x:c r="B6" s="20" t="inlineStr">
        <x:is>
          <x:t xml:space="preserve">Регулярка</x:t>
        </x:is>
      </x:c>
      <x:c r="C6" s="20" t="inlineStr">
        <x:is>
          <x:t xml:space="preserve"/>
        </x:is>
      </x:c>
      <x:c r="D6" s="21" t="n">
        <x:v>8</x:v>
      </x:c>
      <x:c r="E6" s="21" t="n">
        <x:v>66</x:v>
      </x:c>
      <x:c r="F6" s="25" t="inlineStr">
        <x:is>
          <x:t xml:space="preserve">18.01.2026</x:t>
        </x:is>
      </x:c>
      <x:c r="G6" s="20" t="inlineStr">
        <x:is>
          <x:t xml:space="preserve">04.12-05.12</x:t>
        </x:is>
      </x:c>
    </x:row>
    <x:row r="7">
      <x:c r="A7" s="20" t="inlineStr">
        <x:is>
          <x:t xml:space="preserve">Лерка</x:t>
        </x:is>
      </x:c>
      <x:c r="B7" s="20" t="inlineStr">
        <x:is>
          <x:t xml:space="preserve">Регулярка</x:t>
        </x:is>
      </x:c>
      <x:c r="C7" s="20" t="inlineStr">
        <x:is>
          <x:t xml:space="preserve"/>
        </x:is>
      </x:c>
      <x:c r="D7" s="21" t="n">
        <x:v>8</x:v>
      </x:c>
      <x:c r="E7" s="21" t="n">
        <x:v>83</x:v>
      </x:c>
      <x:c r="F7" s="25" t="inlineStr">
        <x:is>
          <x:t xml:space="preserve">18.01.2026</x:t>
        </x:is>
      </x:c>
      <x:c r="G7" s="20" t="inlineStr">
        <x:is>
          <x:t xml:space="preserve">04.12-05.12</x:t>
        </x:is>
      </x:c>
    </x:row>
    <x:row r="8">
      <x:c r="A8" s="20" t="inlineStr">
        <x:is>
          <x:t xml:space="preserve">Валера Волович</x:t>
        </x:is>
      </x:c>
      <x:c r="B8" s="20" t="inlineStr">
        <x:is>
          <x:t xml:space="preserve">Регулярка</x:t>
        </x:is>
      </x:c>
      <x:c r="C8" s="20" t="inlineStr">
        <x:is>
          <x:t xml:space="preserve"/>
        </x:is>
      </x:c>
      <x:c r="D8" s="21" t="n">
        <x:v>4</x:v>
      </x:c>
      <x:c r="E8" s="21" t="n">
        <x:v>60</x:v>
      </x:c>
      <x:c r="F8" s="25" t="inlineStr">
        <x:is>
          <x:t xml:space="preserve">18.01.2026</x:t>
        </x:is>
      </x:c>
      <x:c r="G8" s="20" t="inlineStr">
        <x:is>
          <x:t xml:space="preserve">04.12-05.12</x:t>
        </x:is>
      </x:c>
    </x:row>
    <x:row r="9">
      <x:c r="A9" s="20" t="inlineStr">
        <x:is>
          <x:t xml:space="preserve">Dasha</x:t>
        </x:is>
      </x:c>
      <x:c r="B9" s="20" t="inlineStr">
        <x:is>
          <x:t xml:space="preserve">Регулярка</x:t>
        </x:is>
      </x:c>
      <x:c r="C9" s="20" t="inlineStr">
        <x:is>
          <x:t xml:space="preserve"/>
        </x:is>
      </x:c>
      <x:c r="D9" s="21" t="n">
        <x:v>5</x:v>
      </x:c>
      <x:c r="E9" s="21" t="n">
        <x:v>60</x:v>
      </x:c>
      <x:c r="F9" s="25" t="inlineStr">
        <x:is>
          <x:t xml:space="preserve">18.01.2026</x:t>
        </x:is>
      </x:c>
      <x:c r="G9" s="20" t="inlineStr">
        <x:is>
          <x:t xml:space="preserve">04.12-05.12</x:t>
        </x:is>
      </x:c>
    </x:row>
    <x:row r="10">
      <x:c r="A10" s="20" t="inlineStr">
        <x:is>
          <x:t xml:space="preserve">Влада</x:t>
        </x:is>
      </x:c>
      <x:c r="B10" s="20" t="inlineStr">
        <x:is>
          <x:t xml:space="preserve">Регулярка</x:t>
        </x:is>
      </x:c>
      <x:c r="C10" s="20" t="inlineStr">
        <x:is>
          <x:t xml:space="preserve"/>
        </x:is>
      </x:c>
      <x:c r="D10" s="21" t="n">
        <x:v>6</x:v>
      </x:c>
      <x:c r="E10" s="21" t="n">
        <x:v>65</x:v>
      </x:c>
      <x:c r="F10" s="25" t="inlineStr">
        <x:is>
          <x:t xml:space="preserve">18.01.2026</x:t>
        </x:is>
      </x:c>
      <x:c r="G10" s="20" t="inlineStr">
        <x:is>
          <x:t xml:space="preserve">04.12-05.12</x:t>
        </x:is>
      </x:c>
    </x:row>
    <x:row r="11">
      <x:c r="A11" s="20" t="inlineStr">
        <x:is>
          <x:t xml:space="preserve">Андрей</x:t>
        </x:is>
      </x:c>
      <x:c r="B11" s="20" t="inlineStr">
        <x:is>
          <x:t xml:space="preserve">Регулярка</x:t>
        </x:is>
      </x:c>
      <x:c r="C11" s="20" t="inlineStr">
        <x:is>
          <x:t xml:space="preserve"/>
        </x:is>
      </x:c>
      <x:c r="D11" s="21" t="n">
        <x:v>5</x:v>
      </x:c>
      <x:c r="E11" s="21" t="n">
        <x:v>62</x:v>
      </x:c>
      <x:c r="F11" s="25" t="inlineStr">
        <x:is>
          <x:t xml:space="preserve">18.01.2026</x:t>
        </x:is>
      </x:c>
      <x:c r="G11" s="20" t="inlineStr">
        <x:is>
          <x:t xml:space="preserve">04.12-05.12</x:t>
        </x:is>
      </x:c>
    </x:row>
    <x:row r="12">
      <x:c r="A12" s="20" t="inlineStr">
        <x:is>
          <x:t xml:space="preserve">Александр Свиридов</x:t>
        </x:is>
      </x:c>
      <x:c r="B12" s="20" t="inlineStr">
        <x:is>
          <x:t xml:space="preserve">Регулярка</x:t>
        </x:is>
      </x:c>
      <x:c r="C12" s="20" t="inlineStr">
        <x:is>
          <x:t xml:space="preserve"/>
        </x:is>
      </x:c>
      <x:c r="D12" s="21" t="n">
        <x:v>2</x:v>
      </x:c>
      <x:c r="E12" s="21" t="n">
        <x:v>37</x:v>
      </x:c>
      <x:c r="F12" s="25" t="inlineStr">
        <x:is>
          <x:t xml:space="preserve">18.01.2026</x:t>
        </x:is>
      </x:c>
      <x:c r="G12" s="20" t="inlineStr">
        <x:is>
          <x:t xml:space="preserve">04.12-05.12</x:t>
        </x:is>
      </x:c>
    </x:row>
    <x:row r="13">
      <x:c r="A13" s="20" t="inlineStr">
        <x:is>
          <x:t xml:space="preserve">Надюша</x:t>
        </x:is>
      </x:c>
      <x:c r="B13" s="20" t="inlineStr">
        <x:is>
          <x:t xml:space="preserve">Регулярка</x:t>
        </x:is>
      </x:c>
      <x:c r="C13" s="20" t="inlineStr">
        <x:is>
          <x:t xml:space="preserve"/>
        </x:is>
      </x:c>
      <x:c r="D13" s="21" t="n">
        <x:v>8</x:v>
      </x:c>
      <x:c r="E13" s="21" t="n">
        <x:v>66</x:v>
      </x:c>
      <x:c r="F13" s="25" t="inlineStr">
        <x:is>
          <x:t xml:space="preserve">18.01.2026</x:t>
        </x:is>
      </x:c>
      <x:c r="G13" s="20" t="inlineStr">
        <x:is>
          <x:t xml:space="preserve">04.12-05.12</x:t>
        </x:is>
      </x:c>
    </x:row>
    <x:row r="14">
      <x:c r="A14" s="20" t="inlineStr">
        <x:is>
          <x:t xml:space="preserve">Катюша</x:t>
        </x:is>
      </x:c>
      <x:c r="B14" s="20" t="inlineStr">
        <x:is>
          <x:t xml:space="preserve">Регулярка</x:t>
        </x:is>
      </x:c>
      <x:c r="C14" s="20" t="inlineStr">
        <x:is>
          <x:t xml:space="preserve"/>
        </x:is>
      </x:c>
      <x:c r="D14" s="21" t="n">
        <x:v>13</x:v>
      </x:c>
      <x:c r="E14" s="21" t="n">
        <x:v>80</x:v>
      </x:c>
      <x:c r="F14" s="25" t="inlineStr">
        <x:is>
          <x:t xml:space="preserve">18.01.2026</x:t>
        </x:is>
      </x:c>
      <x:c r="G14" s="20" t="inlineStr">
        <x:is>
          <x:t xml:space="preserve">04.12-05.12</x:t>
        </x:is>
      </x:c>
    </x:row>
    <x:row r="15">
      <x:c r="A15" s="20" t="inlineStr">
        <x:is>
          <x:t xml:space="preserve">Жека</x:t>
        </x:is>
      </x:c>
      <x:c r="B15" s="20" t="inlineStr">
        <x:is>
          <x:t xml:space="preserve">Регулярка</x:t>
        </x:is>
      </x:c>
      <x:c r="C15" s="20" t="inlineStr">
        <x:is>
          <x:t xml:space="preserve"/>
        </x:is>
      </x:c>
      <x:c r="D15" s="21" t="n">
        <x:v>4</x:v>
      </x:c>
      <x:c r="E15" s="21" t="n">
        <x:v>87</x:v>
      </x:c>
      <x:c r="F15" s="25" t="inlineStr">
        <x:is>
          <x:t xml:space="preserve">18.01.2026</x:t>
        </x:is>
      </x:c>
      <x:c r="G15" s="20" t="inlineStr">
        <x:is>
          <x:t xml:space="preserve">04.12-05.12</x:t>
        </x:is>
      </x:c>
    </x:row>
    <x:row r="16">
      <x:c r="A16" s="20" t="inlineStr">
        <x:is>
          <x:t xml:space="preserve">Алексей</x:t>
        </x:is>
      </x:c>
      <x:c r="B16" s="20" t="inlineStr">
        <x:is>
          <x:t xml:space="preserve">Регулярка</x:t>
        </x:is>
      </x:c>
      <x:c r="C16" s="20" t="inlineStr">
        <x:is>
          <x:t xml:space="preserve"/>
        </x:is>
      </x:c>
      <x:c r="D16" s="21" t="n">
        <x:v>11</x:v>
      </x:c>
      <x:c r="E16" s="21" t="n">
        <x:v>86</x:v>
      </x:c>
      <x:c r="F16" s="25" t="inlineStr">
        <x:is>
          <x:t xml:space="preserve">18.01.2026</x:t>
        </x:is>
      </x:c>
      <x:c r="G16" s="20" t="inlineStr">
        <x:is>
          <x:t xml:space="preserve">04.12-05.12</x:t>
        </x:is>
      </x:c>
    </x:row>
    <x:row r="17">
      <x:c r="A17" s="20" t="inlineStr">
        <x:is>
          <x:t xml:space="preserve">Женя Космос</x:t>
        </x:is>
      </x:c>
      <x:c r="B17" s="20" t="inlineStr">
        <x:is>
          <x:t xml:space="preserve">Плей-ин/ПО</x:t>
        </x:is>
      </x:c>
      <x:c r="C17" s="20" t="inlineStr">
        <x:is>
          <x:t xml:space="preserve">Витебск</x:t>
        </x:is>
      </x:c>
      <x:c r="D17" s="21" t="n">
        <x:v>4</x:v>
      </x:c>
      <x:c r="E17" s="21" t="n">
        <x:v>44</x:v>
      </x:c>
      <x:c r="F17" s="25" t="inlineStr">
        <x:is>
          <x:t xml:space="preserve">16.04.2026</x:t>
        </x:is>
      </x:c>
      <x:c r="G17" s="20" t="inlineStr">
        <x:is>
          <x:t xml:space="preserve">04.12-05.12</x:t>
        </x:is>
      </x:c>
    </x:row>
    <x:row r="18">
      <x:c r="A18" s="20" t="inlineStr">
        <x:is>
          <x:t xml:space="preserve">Александр</x:t>
        </x:is>
      </x:c>
      <x:c r="B18" s="20" t="inlineStr">
        <x:is>
          <x:t xml:space="preserve">Плей-ин/ПО</x:t>
        </x:is>
      </x:c>
      <x:c r="C18" s="20" t="inlineStr">
        <x:is>
          <x:t xml:space="preserve">Металлург</x:t>
        </x:is>
      </x:c>
      <x:c r="D18" s="21" t="n">
        <x:v>3</x:v>
      </x:c>
      <x:c r="E18" s="21" t="n">
        <x:v>55</x:v>
      </x:c>
      <x:c r="F18" s="25" t="inlineStr">
        <x:is>
          <x:t xml:space="preserve">16.04.2026</x:t>
        </x:is>
      </x:c>
      <x:c r="G18" s="20" t="inlineStr">
        <x:is>
          <x:t xml:space="preserve">04.12-05.12</x:t>
        </x:is>
      </x:c>
    </x:row>
    <x:row r="19">
      <x:c r="A19" s="20" t="inlineStr">
        <x:is>
          <x:t xml:space="preserve">КатяБет</x:t>
        </x:is>
      </x:c>
      <x:c r="B19" s="20" t="inlineStr">
        <x:is>
          <x:t xml:space="preserve">Плей-ин/ПО</x:t>
        </x:is>
      </x:c>
      <x:c r="C19" s="20" t="inlineStr">
        <x:is>
          <x:t xml:space="preserve">Витебск</x:t>
        </x:is>
      </x:c>
      <x:c r="D19" s="21" t="n">
        <x:v>3</x:v>
      </x:c>
      <x:c r="E19" s="21" t="n">
        <x:v>46</x:v>
      </x:c>
      <x:c r="F19" s="25" t="inlineStr">
        <x:is>
          <x:t xml:space="preserve">16.04.2026</x:t>
        </x:is>
      </x:c>
      <x:c r="G19" s="20" t="inlineStr">
        <x:is>
          <x:t xml:space="preserve">04.12-05.12</x:t>
        </x:is>
      </x:c>
    </x:row>
    <x:row r="20">
      <x:c r="A20" s="20" t="inlineStr">
        <x:is>
          <x:t xml:space="preserve">Яна</x:t>
        </x:is>
      </x:c>
      <x:c r="B20" s="20" t="inlineStr">
        <x:is>
          <x:t xml:space="preserve">Плей-ин/ПО</x:t>
        </x:is>
      </x:c>
      <x:c r="C20" s="20" t="inlineStr">
        <x:is>
          <x:t xml:space="preserve">Брест</x:t>
        </x:is>
      </x:c>
      <x:c r="D20" s="21" t="n">
        <x:v>3</x:v>
      </x:c>
      <x:c r="E20" s="21" t="n">
        <x:v>22</x:v>
      </x:c>
      <x:c r="F20" s="25" t="inlineStr">
        <x:is>
          <x:t xml:space="preserve">16.04.2026</x:t>
        </x:is>
      </x:c>
      <x:c r="G20" s="20" t="inlineStr">
        <x:is>
          <x:t xml:space="preserve">04.12-05.12</x:t>
        </x:is>
      </x:c>
    </x:row>
    <x:row r="21">
      <x:c r="A21" s="20" t="inlineStr">
        <x:is>
          <x:t xml:space="preserve">Лерка</x:t>
        </x:is>
      </x:c>
      <x:c r="B21" s="20" t="inlineStr">
        <x:is>
          <x:t xml:space="preserve">Плей-ин/ПО</x:t>
        </x:is>
      </x:c>
      <x:c r="C21" s="20" t="inlineStr">
        <x:is>
          <x:t xml:space="preserve">Шахтер</x:t>
        </x:is>
      </x:c>
      <x:c r="D21" s="21" t="n">
        <x:v>6</x:v>
      </x:c>
      <x:c r="E21" s="21" t="n">
        <x:v>59</x:v>
      </x:c>
      <x:c r="F21" s="25" t="inlineStr">
        <x:is>
          <x:t xml:space="preserve">16.04.2026</x:t>
        </x:is>
      </x:c>
      <x:c r="G21" s="20" t="inlineStr">
        <x:is>
          <x:t xml:space="preserve">04.12-05.12</x:t>
        </x:is>
      </x:c>
    </x:row>
    <x:row r="22">
      <x:c r="A22" s="20" t="inlineStr">
        <x:is>
          <x:t xml:space="preserve">Валера Волович</x:t>
        </x:is>
      </x:c>
      <x:c r="B22" s="20" t="inlineStr">
        <x:is>
          <x:t xml:space="preserve">Плей-ин/ПО</x:t>
        </x:is>
      </x:c>
      <x:c r="C22" s="20" t="inlineStr">
        <x:is>
          <x:t xml:space="preserve"/>
        </x:is>
      </x:c>
      <x:c r="D22" s="21" t="n">
        <x:v>0</x:v>
      </x:c>
      <x:c r="E22" s="21" t="n">
        <x:v>10</x:v>
      </x:c>
      <x:c r="F22" s="25" t="inlineStr">
        <x:is>
          <x:t xml:space="preserve">16.04.2026</x:t>
        </x:is>
      </x:c>
      <x:c r="G22" s="20" t="inlineStr">
        <x:is>
          <x:t xml:space="preserve">04.12-05.12</x:t>
        </x:is>
      </x:c>
    </x:row>
    <x:row r="23">
      <x:c r="A23" s="20" t="inlineStr">
        <x:is>
          <x:t xml:space="preserve">Dasha</x:t>
        </x:is>
      </x:c>
      <x:c r="B23" s="20" t="inlineStr">
        <x:is>
          <x:t xml:space="preserve">Плей-ин/ПО</x:t>
        </x:is>
      </x:c>
      <x:c r="C23" s="20" t="inlineStr">
        <x:is>
          <x:t xml:space="preserve"/>
        </x:is>
      </x:c>
      <x:c r="D23" s="21" t="n">
        <x:v>0</x:v>
      </x:c>
      <x:c r="E23" s="21" t="n">
        <x:v>18</x:v>
      </x:c>
      <x:c r="F23" s="25" t="inlineStr">
        <x:is>
          <x:t xml:space="preserve">16.04.2026</x:t>
        </x:is>
      </x:c>
      <x:c r="G23" s="20" t="inlineStr">
        <x:is>
          <x:t xml:space="preserve">04.12-05.12</x:t>
        </x:is>
      </x:c>
    </x:row>
    <x:row r="24">
      <x:c r="A24" s="20" t="inlineStr">
        <x:is>
          <x:t xml:space="preserve">Влада</x:t>
        </x:is>
      </x:c>
      <x:c r="B24" s="20" t="inlineStr">
        <x:is>
          <x:t xml:space="preserve">Плей-ин/ПО</x:t>
        </x:is>
      </x:c>
      <x:c r="C24" s="20" t="inlineStr">
        <x:is>
          <x:t xml:space="preserve">Шахтер</x:t>
        </x:is>
      </x:c>
      <x:c r="D24" s="21" t="n">
        <x:v>6</x:v>
      </x:c>
      <x:c r="E24" s="21" t="n">
        <x:v>45</x:v>
      </x:c>
      <x:c r="F24" s="25" t="inlineStr">
        <x:is>
          <x:t xml:space="preserve">16.04.2026</x:t>
        </x:is>
      </x:c>
      <x:c r="G24" s="20" t="inlineStr">
        <x:is>
          <x:t xml:space="preserve">04.12-05.12</x:t>
        </x:is>
      </x:c>
    </x:row>
    <x:row r="25">
      <x:c r="A25" s="20" t="inlineStr">
        <x:is>
          <x:t xml:space="preserve">Андрей</x:t>
        </x:is>
      </x:c>
      <x:c r="B25" s="20" t="inlineStr">
        <x:is>
          <x:t xml:space="preserve">Плей-ин/ПО</x:t>
        </x:is>
      </x:c>
      <x:c r="C25" s="20" t="inlineStr">
        <x:is>
          <x:t xml:space="preserve"/>
        </x:is>
      </x:c>
      <x:c r="D25" s="21" t="n">
        <x:v>1</x:v>
      </x:c>
      <x:c r="E25" s="21" t="n">
        <x:v>16</x:v>
      </x:c>
      <x:c r="F25" s="25" t="inlineStr">
        <x:is>
          <x:t xml:space="preserve">16.04.2026</x:t>
        </x:is>
      </x:c>
      <x:c r="G25" s="20" t="inlineStr">
        <x:is>
          <x:t xml:space="preserve">04.12-05.12</x:t>
        </x:is>
      </x:c>
    </x:row>
    <x:row r="26">
      <x:c r="A26" s="20" t="inlineStr">
        <x:is>
          <x:t xml:space="preserve">Александр Свиридов</x:t>
        </x:is>
      </x:c>
      <x:c r="B26" s="20" t="inlineStr">
        <x:is>
          <x:t xml:space="preserve">Плей-ин/ПО</x:t>
        </x:is>
      </x:c>
      <x:c r="C26" s="20" t="inlineStr">
        <x:is>
          <x:t xml:space="preserve">Юность-Минск</x:t>
        </x:is>
      </x:c>
      <x:c r="D26" s="21" t="n">
        <x:v>1</x:v>
      </x:c>
      <x:c r="E26" s="21" t="n">
        <x:v>21</x:v>
      </x:c>
      <x:c r="F26" s="25" t="inlineStr">
        <x:is>
          <x:t xml:space="preserve">16.04.2026</x:t>
        </x:is>
      </x:c>
      <x:c r="G26" s="20" t="inlineStr">
        <x:is>
          <x:t xml:space="preserve">04.12-05.12</x:t>
        </x:is>
      </x:c>
    </x:row>
    <x:row r="27">
      <x:c r="A27" s="20" t="inlineStr">
        <x:is>
          <x:t xml:space="preserve">Надюша</x:t>
        </x:is>
      </x:c>
      <x:c r="B27" s="20" t="inlineStr">
        <x:is>
          <x:t xml:space="preserve">Плей-ин/ПО</x:t>
        </x:is>
      </x:c>
      <x:c r="C27" s="20" t="inlineStr">
        <x:is>
          <x:t xml:space="preserve">Шахтер</x:t>
        </x:is>
      </x:c>
      <x:c r="D27" s="21" t="n">
        <x:v>6</x:v>
      </x:c>
      <x:c r="E27" s="21" t="n">
        <x:v>53</x:v>
      </x:c>
      <x:c r="F27" s="25" t="inlineStr">
        <x:is>
          <x:t xml:space="preserve">16.04.2026</x:t>
        </x:is>
      </x:c>
      <x:c r="G27" s="20" t="inlineStr">
        <x:is>
          <x:t xml:space="preserve">04.12-05.12</x:t>
        </x:is>
      </x:c>
    </x:row>
    <x:row r="28">
      <x:c r="A28" s="20" t="inlineStr">
        <x:is>
          <x:t xml:space="preserve">Катюша</x:t>
        </x:is>
      </x:c>
      <x:c r="B28" s="20" t="inlineStr">
        <x:is>
          <x:t xml:space="preserve">Плей-ин/ПО</x:t>
        </x:is>
      </x:c>
      <x:c r="C28" s="20" t="inlineStr">
        <x:is>
          <x:t xml:space="preserve">Витебск</x:t>
        </x:is>
      </x:c>
      <x:c r="D28" s="21" t="n">
        <x:v>1</x:v>
      </x:c>
      <x:c r="E28" s="21" t="n">
        <x:v>51</x:v>
      </x:c>
      <x:c r="F28" s="25" t="inlineStr">
        <x:is>
          <x:t xml:space="preserve">16.04.2026</x:t>
        </x:is>
      </x:c>
      <x:c r="G28" s="20" t="inlineStr">
        <x:is>
          <x:t xml:space="preserve">04.12-05.12</x:t>
        </x:is>
      </x:c>
    </x:row>
    <x:row r="29">
      <x:c r="A29" s="20" t="inlineStr">
        <x:is>
          <x:t xml:space="preserve">Жека</x:t>
        </x:is>
      </x:c>
      <x:c r="B29" s="20" t="inlineStr">
        <x:is>
          <x:t xml:space="preserve">Плей-ин/ПО</x:t>
        </x:is>
      </x:c>
      <x:c r="C29" s="20" t="inlineStr">
        <x:is>
          <x:t xml:space="preserve"/>
        </x:is>
      </x:c>
      <x:c r="D29" s="21" t="n">
        <x:v>6</x:v>
      </x:c>
      <x:c r="E29" s="21" t="n">
        <x:v>56</x:v>
      </x:c>
      <x:c r="F29" s="25" t="inlineStr">
        <x:is>
          <x:t xml:space="preserve">16.04.2026</x:t>
        </x:is>
      </x:c>
      <x:c r="G29" s="20" t="inlineStr">
        <x:is>
          <x:t xml:space="preserve">04.12-05.12</x:t>
        </x:is>
      </x:c>
    </x:row>
    <x:row r="30">
      <x:c r="A30" s="20" t="inlineStr">
        <x:is>
          <x:t xml:space="preserve">Алексей</x:t>
        </x:is>
      </x:c>
      <x:c r="B30" s="20" t="inlineStr">
        <x:is>
          <x:t xml:space="preserve">Плей-ин/ПО</x:t>
        </x:is>
      </x:c>
      <x:c r="C30" s="20" t="inlineStr">
        <x:is>
          <x:t xml:space="preserve"/>
        </x:is>
      </x:c>
      <x:c r="D30" s="21" t="n">
        <x:v>6</x:v>
      </x:c>
      <x:c r="E30" s="21" t="n">
        <x:v>45</x:v>
      </x:c>
      <x:c r="F30" s="25" t="inlineStr">
        <x:is>
          <x:t xml:space="preserve">16.04.2026</x:t>
        </x:is>
      </x:c>
      <x:c r="G30" s="20" t="inlineStr">
        <x:is>
          <x:t xml:space="preserve">04.12-05.12</x:t>
        </x:is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695230a01804f7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2" customWidth="1"/>
    <x:col min="3" max="3" width="6" customWidth="1"/>
    <x:col min="4" max="4" width="16" customWidth="1"/>
    <x:col min="5" max="5" width="11" customWidth="1"/>
    <x:col min="6" max="6" width="23" customWidth="1"/>
    <x:col min="7" max="7" width="17" customWidth="1"/>
    <x:col min="8" max="8" width="13" customWidth="1"/>
    <x:col min="9" max="9" width="12" customWidth="1"/>
  </x:cols>
  <x:sheetData>
    <x:row r="1" ht="24" customHeight="1">
      <x:c r="A1" s="1" t="inlineStr">
        <x:is>
          <x:t xml:space="preserve">Составы участников — регулярный чемпионат</x:t>
        </x:is>
      </x:c>
    </x:row>
    <x:row r="2">
      <x:c r="A2" s="7" t="inlineStr">
        <x:is>
          <x:t xml:space="preserve">Участник</x:t>
        </x:is>
      </x:c>
      <x:c r="B2" s="7" t="inlineStr">
        <x:is>
          <x:t xml:space="preserve">Позиция</x:t>
        </x:is>
      </x:c>
      <x:c r="C2" s="7" t="inlineStr">
        <x:is>
          <x:t xml:space="preserve">Слот</x:t>
        </x:is>
      </x:c>
      <x:c r="D2" s="7" t="inlineStr">
        <x:is>
          <x:t xml:space="preserve">Игрок</x:t>
        </x:is>
      </x:c>
      <x:c r="E2" s="7" t="inlineStr">
        <x:is>
          <x:t xml:space="preserve">Клуб</x:t>
        </x:is>
      </x:c>
      <x:c r="F2" s="7" t="inlineStr">
        <x:is>
          <x:t xml:space="preserve">Очки за последний тур</x:t>
        </x:is>
      </x:c>
      <x:c r="G2" s="7" t="inlineStr">
        <x:is>
          <x:t xml:space="preserve">Итого участника</x:t>
        </x:is>
      </x:c>
      <x:c r="H2" s="7" t="inlineStr">
        <x:is>
          <x:t xml:space="preserve">Раунд</x:t>
        </x:is>
      </x:c>
      <x:c r="I2" s="7" t="inlineStr">
        <x:is>
          <x:t xml:space="preserve">Срез по</x:t>
        </x:is>
      </x:c>
    </x:row>
    <x:row r="3">
      <x:c r="A3" s="20" t="inlineStr">
        <x:is>
          <x:t xml:space="preserve">Женя Космос</x:t>
        </x:is>
      </x:c>
      <x:c r="B3" s="20" t="inlineStr">
        <x:is>
          <x:t xml:space="preserve">Вратарь</x:t>
        </x:is>
      </x:c>
      <x:c r="C3" s="20" t="n">
        <x:v>1</x:v>
      </x:c>
      <x:c r="D3" s="20" t="inlineStr">
        <x:is>
          <x:t xml:space="preserve">Игорь Тяло</x:t>
        </x:is>
      </x:c>
      <x:c r="E3" s="20" t="inlineStr">
        <x:is>
          <x:t xml:space="preserve">Лида</x:t>
        </x:is>
      </x:c>
      <x:c r="F3" s="21" t="n">
        <x:v>3</x:v>
      </x:c>
      <x:c r="G3" s="21" t="n">
        <x:v>73</x:v>
      </x:c>
      <x:c r="H3" s="20" t="inlineStr">
        <x:is>
          <x:t xml:space="preserve">04.12-05.12</x:t>
        </x:is>
      </x:c>
      <x:c r="I3" s="25" t="inlineStr">
        <x:is>
          <x:t xml:space="preserve">18.01.2026</x:t>
        </x:is>
      </x:c>
    </x:row>
    <x:row r="4">
      <x:c r="A4" s="20" t="inlineStr">
        <x:is>
          <x:t xml:space="preserve">Женя Космос</x:t>
        </x:is>
      </x:c>
      <x:c r="B4" s="20" t="inlineStr">
        <x:is>
          <x:t xml:space="preserve">Защитник</x:t>
        </x:is>
      </x:c>
      <x:c r="C4" s="20" t="n">
        <x:v>1</x:v>
      </x:c>
      <x:c r="D4" s="20" t="inlineStr">
        <x:is>
          <x:t xml:space="preserve">Листопадов</x:t>
        </x:is>
      </x:c>
      <x:c r="E4" s="20" t="inlineStr">
        <x:is>
          <x:t xml:space="preserve">Витебск</x:t>
        </x:is>
      </x:c>
      <x:c r="F4" s="21" t="n">
        <x:v>0</x:v>
      </x:c>
      <x:c r="G4" s="21" t="n">
        <x:v>73</x:v>
      </x:c>
      <x:c r="H4" s="20" t="inlineStr">
        <x:is>
          <x:t xml:space="preserve">04.12-05.12</x:t>
        </x:is>
      </x:c>
      <x:c r="I4" s="25" t="inlineStr">
        <x:is>
          <x:t xml:space="preserve">18.01.2026</x:t>
        </x:is>
      </x:c>
    </x:row>
    <x:row r="5">
      <x:c r="A5" s="20" t="inlineStr">
        <x:is>
          <x:t xml:space="preserve">Женя Космос</x:t>
        </x:is>
      </x:c>
      <x:c r="B5" s="20" t="inlineStr">
        <x:is>
          <x:t xml:space="preserve">Защитник</x:t>
        </x:is>
      </x:c>
      <x:c r="C5" s="20" t="n">
        <x:v>2</x:v>
      </x:c>
      <x:c r="D5" s="20" t="inlineStr">
        <x:is>
          <x:t xml:space="preserve">Озеров</x:t>
        </x:is>
      </x:c>
      <x:c r="E5" s="20" t="inlineStr">
        <x:is>
          <x:t xml:space="preserve">Славутич</x:t>
        </x:is>
      </x:c>
      <x:c r="F5" s="21" t="n">
        <x:v>1</x:v>
      </x:c>
      <x:c r="G5" s="21" t="n">
        <x:v>73</x:v>
      </x:c>
      <x:c r="H5" s="20" t="inlineStr">
        <x:is>
          <x:t xml:space="preserve">04.12-05.12</x:t>
        </x:is>
      </x:c>
      <x:c r="I5" s="25" t="inlineStr">
        <x:is>
          <x:t xml:space="preserve">18.01.2026</x:t>
        </x:is>
      </x:c>
    </x:row>
    <x:row r="6">
      <x:c r="A6" s="20" t="inlineStr">
        <x:is>
          <x:t xml:space="preserve">Женя Космос</x:t>
        </x:is>
      </x:c>
      <x:c r="B6" s="20" t="inlineStr">
        <x:is>
          <x:t xml:space="preserve">Нападающий</x:t>
        </x:is>
      </x:c>
      <x:c r="C6" s="20" t="n">
        <x:v>1</x:v>
      </x:c>
      <x:c r="D6" s="20" t="inlineStr">
        <x:is>
          <x:t xml:space="preserve">Никитич</x:t>
        </x:is>
      </x:c>
      <x:c r="E6" s="20" t="inlineStr">
        <x:is>
          <x:t xml:space="preserve">Брест</x:t>
        </x:is>
      </x:c>
      <x:c r="F6" s="21" t="n">
        <x:v>2</x:v>
      </x:c>
      <x:c r="G6" s="21" t="n">
        <x:v>73</x:v>
      </x:c>
      <x:c r="H6" s="20" t="inlineStr">
        <x:is>
          <x:t xml:space="preserve">04.12-05.12</x:t>
        </x:is>
      </x:c>
      <x:c r="I6" s="25" t="inlineStr">
        <x:is>
          <x:t xml:space="preserve">18.01.2026</x:t>
        </x:is>
      </x:c>
    </x:row>
    <x:row r="7">
      <x:c r="A7" s="20" t="inlineStr">
        <x:is>
          <x:t xml:space="preserve">Женя Космос</x:t>
        </x:is>
      </x:c>
      <x:c r="B7" s="20" t="inlineStr">
        <x:is>
          <x:t xml:space="preserve">Нападающий</x:t>
        </x:is>
      </x:c>
      <x:c r="C7" s="20" t="n">
        <x:v>2</x:v>
      </x:c>
      <x:c r="D7" s="20" t="inlineStr">
        <x:is>
          <x:t xml:space="preserve">Субхи</x:t>
        </x:is>
      </x:c>
      <x:c r="E7" s="20" t="inlineStr">
        <x:is>
          <x:t xml:space="preserve">Гомель</x:t>
        </x:is>
      </x:c>
      <x:c r="F7" s="21" t="n">
        <x:v>1</x:v>
      </x:c>
      <x:c r="G7" s="21" t="n">
        <x:v>73</x:v>
      </x:c>
      <x:c r="H7" s="20" t="inlineStr">
        <x:is>
          <x:t xml:space="preserve">04.12-05.12</x:t>
        </x:is>
      </x:c>
      <x:c r="I7" s="25" t="inlineStr">
        <x:is>
          <x:t xml:space="preserve">18.01.2026</x:t>
        </x:is>
      </x:c>
    </x:row>
    <x:row r="8">
      <x:c r="A8" s="20" t="inlineStr">
        <x:is>
          <x:t xml:space="preserve">Женя Космос</x:t>
        </x:is>
      </x:c>
      <x:c r="B8" s="20" t="inlineStr">
        <x:is>
          <x:t xml:space="preserve">Нападающий</x:t>
        </x:is>
      </x:c>
      <x:c r="C8" s="20" t="n">
        <x:v>3</x:v>
      </x:c>
      <x:c r="D8" s="20" t="inlineStr">
        <x:is>
          <x:t xml:space="preserve">Кунишников</x:t>
        </x:is>
      </x:c>
      <x:c r="E8" s="20" t="inlineStr">
        <x:is>
          <x:t xml:space="preserve">Лида</x:t>
        </x:is>
      </x:c>
      <x:c r="F8" s="21" t="n">
        <x:v>1</x:v>
      </x:c>
      <x:c r="G8" s="21" t="n">
        <x:v>73</x:v>
      </x:c>
      <x:c r="H8" s="20" t="inlineStr">
        <x:is>
          <x:t xml:space="preserve">04.12-05.12</x:t>
        </x:is>
      </x:c>
      <x:c r="I8" s="25" t="inlineStr">
        <x:is>
          <x:t xml:space="preserve">18.01.2026</x:t>
        </x:is>
      </x:c>
    </x:row>
    <x:row r="9">
      <x:c r="A9" s="20" t="inlineStr">
        <x:is>
          <x:t xml:space="preserve">Александр</x:t>
        </x:is>
      </x:c>
      <x:c r="B9" s="20" t="inlineStr">
        <x:is>
          <x:t xml:space="preserve">Вратарь</x:t>
        </x:is>
      </x:c>
      <x:c r="C9" s="20" t="n">
        <x:v>1</x:v>
      </x:c>
      <x:c r="D9" s="20" t="inlineStr">
        <x:is>
          <x:t xml:space="preserve">Бобарико</x:t>
        </x:is>
      </x:c>
      <x:c r="E9" s="20" t="inlineStr">
        <x:is>
          <x:t xml:space="preserve">Витебск</x:t>
        </x:is>
      </x:c>
      <x:c r="F9" s="21" t="n">
        <x:v>2</x:v>
      </x:c>
      <x:c r="G9" s="21" t="n">
        <x:v>57</x:v>
      </x:c>
      <x:c r="H9" s="20" t="inlineStr">
        <x:is>
          <x:t xml:space="preserve">04.12-05.12</x:t>
        </x:is>
      </x:c>
      <x:c r="I9" s="25" t="inlineStr">
        <x:is>
          <x:t xml:space="preserve">18.01.2026</x:t>
        </x:is>
      </x:c>
    </x:row>
    <x:row r="10">
      <x:c r="A10" s="20" t="inlineStr">
        <x:is>
          <x:t xml:space="preserve">Александр</x:t>
        </x:is>
      </x:c>
      <x:c r="B10" s="20" t="inlineStr">
        <x:is>
          <x:t xml:space="preserve">Защитник</x:t>
        </x:is>
      </x:c>
      <x:c r="C10" s="20" t="n">
        <x:v>1</x:v>
      </x:c>
      <x:c r="D10" s="20" t="inlineStr">
        <x:is>
          <x:t xml:space="preserve">Знахаренко</x:t>
        </x:is>
      </x:c>
      <x:c r="E10" s="20" t="inlineStr">
        <x:is>
          <x:t xml:space="preserve">Брест</x:t>
        </x:is>
      </x:c>
      <x:c r="F10" s="21" t="n">
        <x:v>0</x:v>
      </x:c>
      <x:c r="G10" s="21" t="n">
        <x:v>57</x:v>
      </x:c>
      <x:c r="H10" s="20" t="inlineStr">
        <x:is>
          <x:t xml:space="preserve">04.12-05.12</x:t>
        </x:is>
      </x:c>
      <x:c r="I10" s="25" t="inlineStr">
        <x:is>
          <x:t xml:space="preserve">18.01.2026</x:t>
        </x:is>
      </x:c>
    </x:row>
    <x:row r="11">
      <x:c r="A11" s="20" t="inlineStr">
        <x:is>
          <x:t xml:space="preserve">Александр</x:t>
        </x:is>
      </x:c>
      <x:c r="B11" s="20" t="inlineStr">
        <x:is>
          <x:t xml:space="preserve">Защитник</x:t>
        </x:is>
      </x:c>
      <x:c r="C11" s="20" t="n">
        <x:v>2</x:v>
      </x:c>
      <x:c r="D11" s="20" t="inlineStr">
        <x:is>
          <x:t xml:space="preserve">Сиротин</x:t>
        </x:is>
      </x:c>
      <x:c r="E11" s="20" t="inlineStr">
        <x:is>
          <x:t xml:space="preserve">Авиатор</x:t>
        </x:is>
      </x:c>
      <x:c r="F11" s="21" t="n">
        <x:v>0</x:v>
      </x:c>
      <x:c r="G11" s="21" t="n">
        <x:v>57</x:v>
      </x:c>
      <x:c r="H11" s="20" t="inlineStr">
        <x:is>
          <x:t xml:space="preserve">04.12-05.12</x:t>
        </x:is>
      </x:c>
      <x:c r="I11" s="25" t="inlineStr">
        <x:is>
          <x:t xml:space="preserve">18.01.2026</x:t>
        </x:is>
      </x:c>
    </x:row>
    <x:row r="12">
      <x:c r="A12" s="20" t="inlineStr">
        <x:is>
          <x:t xml:space="preserve">Александр</x:t>
        </x:is>
      </x:c>
      <x:c r="B12" s="20" t="inlineStr">
        <x:is>
          <x:t xml:space="preserve">Нападающий</x:t>
        </x:is>
      </x:c>
      <x:c r="C12" s="20" t="n">
        <x:v>1</x:v>
      </x:c>
      <x:c r="D12" s="20" t="inlineStr">
        <x:is>
          <x:t xml:space="preserve">Качеловский</x:t>
        </x:is>
      </x:c>
      <x:c r="E12" s="20" t="inlineStr">
        <x:is>
          <x:t xml:space="preserve">Гомель</x:t>
        </x:is>
      </x:c>
      <x:c r="F12" s="21" t="n">
        <x:v>1</x:v>
      </x:c>
      <x:c r="G12" s="21" t="n">
        <x:v>57</x:v>
      </x:c>
      <x:c r="H12" s="20" t="inlineStr">
        <x:is>
          <x:t xml:space="preserve">04.12-05.12</x:t>
        </x:is>
      </x:c>
      <x:c r="I12" s="25" t="inlineStr">
        <x:is>
          <x:t xml:space="preserve">18.01.2026</x:t>
        </x:is>
      </x:c>
    </x:row>
    <x:row r="13">
      <x:c r="A13" s="20" t="inlineStr">
        <x:is>
          <x:t xml:space="preserve">Александр</x:t>
        </x:is>
      </x:c>
      <x:c r="B13" s="20" t="inlineStr">
        <x:is>
          <x:t xml:space="preserve">Нападающий</x:t>
        </x:is>
      </x:c>
      <x:c r="C13" s="20" t="n">
        <x:v>2</x:v>
      </x:c>
      <x:c r="D13" s="20" t="inlineStr">
        <x:is>
          <x:t xml:space="preserve">Кунишников</x:t>
        </x:is>
      </x:c>
      <x:c r="E13" s="20" t="inlineStr">
        <x:is>
          <x:t xml:space="preserve">Лида</x:t>
        </x:is>
      </x:c>
      <x:c r="F13" s="21" t="n">
        <x:v>1</x:v>
      </x:c>
      <x:c r="G13" s="21" t="n">
        <x:v>57</x:v>
      </x:c>
      <x:c r="H13" s="20" t="inlineStr">
        <x:is>
          <x:t xml:space="preserve">04.12-05.12</x:t>
        </x:is>
      </x:c>
      <x:c r="I13" s="25" t="inlineStr">
        <x:is>
          <x:t xml:space="preserve">18.01.2026</x:t>
        </x:is>
      </x:c>
    </x:row>
    <x:row r="14">
      <x:c r="A14" s="20" t="inlineStr">
        <x:is>
          <x:t xml:space="preserve">Александр</x:t>
        </x:is>
      </x:c>
      <x:c r="B14" s="20" t="inlineStr">
        <x:is>
          <x:t xml:space="preserve">Нападающий</x:t>
        </x:is>
      </x:c>
      <x:c r="C14" s="20" t="n">
        <x:v>3</x:v>
      </x:c>
      <x:c r="D14" s="20" t="inlineStr">
        <x:is>
          <x:t xml:space="preserve">Козячий</x:t>
        </x:is>
      </x:c>
      <x:c r="E14" s="20" t="inlineStr">
        <x:is>
          <x:t xml:space="preserve">Металлург</x:t>
        </x:is>
      </x:c>
      <x:c r="F14" s="21" t="n">
        <x:v>0</x:v>
      </x:c>
      <x:c r="G14" s="21" t="n">
        <x:v>57</x:v>
      </x:c>
      <x:c r="H14" s="20" t="inlineStr">
        <x:is>
          <x:t xml:space="preserve">04.12-05.12</x:t>
        </x:is>
      </x:c>
      <x:c r="I14" s="25" t="inlineStr">
        <x:is>
          <x:t xml:space="preserve">18.01.2026</x:t>
        </x:is>
      </x:c>
    </x:row>
    <x:row r="15">
      <x:c r="A15" s="20" t="inlineStr">
        <x:is>
          <x:t xml:space="preserve">КатяБет</x:t>
        </x:is>
      </x:c>
      <x:c r="B15" s="20" t="inlineStr">
        <x:is>
          <x:t xml:space="preserve">Вратарь</x:t>
        </x:is>
      </x:c>
      <x:c r="C15" s="20" t="n">
        <x:v>1</x:v>
      </x:c>
      <x:c r="D15" s="20" t="inlineStr">
        <x:is>
          <x:t xml:space="preserve">Бобарико</x:t>
        </x:is>
      </x:c>
      <x:c r="E15" s="20" t="inlineStr">
        <x:is>
          <x:t xml:space="preserve">Витебск</x:t>
        </x:is>
      </x:c>
      <x:c r="F15" s="21" t="n">
        <x:v>2</x:v>
      </x:c>
      <x:c r="G15" s="21" t="n">
        <x:v>77</x:v>
      </x:c>
      <x:c r="H15" s="20" t="inlineStr">
        <x:is>
          <x:t xml:space="preserve">04.12-05.12</x:t>
        </x:is>
      </x:c>
      <x:c r="I15" s="25" t="inlineStr">
        <x:is>
          <x:t xml:space="preserve">18.01.2026</x:t>
        </x:is>
      </x:c>
    </x:row>
    <x:row r="16">
      <x:c r="A16" s="20" t="inlineStr">
        <x:is>
          <x:t xml:space="preserve">КатяБет</x:t>
        </x:is>
      </x:c>
      <x:c r="B16" s="20" t="inlineStr">
        <x:is>
          <x:t xml:space="preserve">Защитник</x:t>
        </x:is>
      </x:c>
      <x:c r="C16" s="20" t="n">
        <x:v>1</x:v>
      </x:c>
      <x:c r="D16" s="20" t="inlineStr">
        <x:is>
          <x:t xml:space="preserve">Геращенко</x:t>
        </x:is>
      </x:c>
      <x:c r="E16" s="20" t="inlineStr">
        <x:is>
          <x:t xml:space="preserve">Металлург</x:t>
        </x:is>
      </x:c>
      <x:c r="F16" s="21" t="n">
        <x:v>0</x:v>
      </x:c>
      <x:c r="G16" s="21" t="n">
        <x:v>77</x:v>
      </x:c>
      <x:c r="H16" s="20" t="inlineStr">
        <x:is>
          <x:t xml:space="preserve">04.12-05.12</x:t>
        </x:is>
      </x:c>
      <x:c r="I16" s="25" t="inlineStr">
        <x:is>
          <x:t xml:space="preserve">18.01.2026</x:t>
        </x:is>
      </x:c>
    </x:row>
    <x:row r="17">
      <x:c r="A17" s="20" t="inlineStr">
        <x:is>
          <x:t xml:space="preserve">КатяБет</x:t>
        </x:is>
      </x:c>
      <x:c r="B17" s="20" t="inlineStr">
        <x:is>
          <x:t xml:space="preserve">Защитник</x:t>
        </x:is>
      </x:c>
      <x:c r="C17" s="20" t="n">
        <x:v>2</x:v>
      </x:c>
      <x:c r="D17" s="20" t="inlineStr">
        <x:is>
          <x:t xml:space="preserve">Сурков</x:t>
        </x:is>
      </x:c>
      <x:c r="E17" s="20" t="inlineStr">
        <x:is>
          <x:t xml:space="preserve">Молодечно</x:t>
        </x:is>
      </x:c>
      <x:c r="F17" s="21" t="n">
        <x:v>1</x:v>
      </x:c>
      <x:c r="G17" s="21" t="n">
        <x:v>77</x:v>
      </x:c>
      <x:c r="H17" s="20" t="inlineStr">
        <x:is>
          <x:t xml:space="preserve">04.12-05.12</x:t>
        </x:is>
      </x:c>
      <x:c r="I17" s="25" t="inlineStr">
        <x:is>
          <x:t xml:space="preserve">18.01.2026</x:t>
        </x:is>
      </x:c>
    </x:row>
    <x:row r="18">
      <x:c r="A18" s="20" t="inlineStr">
        <x:is>
          <x:t xml:space="preserve">КатяБет</x:t>
        </x:is>
      </x:c>
      <x:c r="B18" s="20" t="inlineStr">
        <x:is>
          <x:t xml:space="preserve">Нападающий</x:t>
        </x:is>
      </x:c>
      <x:c r="C18" s="20" t="n">
        <x:v>1</x:v>
      </x:c>
      <x:c r="D18" s="20" t="inlineStr">
        <x:is>
          <x:t xml:space="preserve">Кунишников</x:t>
        </x:is>
      </x:c>
      <x:c r="E18" s="20" t="inlineStr">
        <x:is>
          <x:t xml:space="preserve">Лида</x:t>
        </x:is>
      </x:c>
      <x:c r="F18" s="21" t="n">
        <x:v>1</x:v>
      </x:c>
      <x:c r="G18" s="21" t="n">
        <x:v>77</x:v>
      </x:c>
      <x:c r="H18" s="20" t="inlineStr">
        <x:is>
          <x:t xml:space="preserve">04.12-05.12</x:t>
        </x:is>
      </x:c>
      <x:c r="I18" s="25" t="inlineStr">
        <x:is>
          <x:t xml:space="preserve">18.01.2026</x:t>
        </x:is>
      </x:c>
    </x:row>
    <x:row r="19">
      <x:c r="A19" s="20" t="inlineStr">
        <x:is>
          <x:t xml:space="preserve">КатяБет</x:t>
        </x:is>
      </x:c>
      <x:c r="B19" s="20" t="inlineStr">
        <x:is>
          <x:t xml:space="preserve">Нападающий</x:t>
        </x:is>
      </x:c>
      <x:c r="C19" s="20" t="n">
        <x:v>2</x:v>
      </x:c>
      <x:c r="D19" s="20" t="inlineStr">
        <x:is>
          <x:t xml:space="preserve">Ипатов</x:t>
        </x:is>
      </x:c>
      <x:c r="E19" s="20" t="inlineStr">
        <x:is>
          <x:t xml:space="preserve">Витебск</x:t>
        </x:is>
      </x:c>
      <x:c r="F19" s="21" t="n">
        <x:v>0</x:v>
      </x:c>
      <x:c r="G19" s="21" t="n">
        <x:v>77</x:v>
      </x:c>
      <x:c r="H19" s="20" t="inlineStr">
        <x:is>
          <x:t xml:space="preserve">04.12-05.12</x:t>
        </x:is>
      </x:c>
      <x:c r="I19" s="25" t="inlineStr">
        <x:is>
          <x:t xml:space="preserve">18.01.2026</x:t>
        </x:is>
      </x:c>
    </x:row>
    <x:row r="20">
      <x:c r="A20" s="20" t="inlineStr">
        <x:is>
          <x:t xml:space="preserve">КатяБет</x:t>
        </x:is>
      </x:c>
      <x:c r="B20" s="20" t="inlineStr">
        <x:is>
          <x:t xml:space="preserve">Нападающий</x:t>
        </x:is>
      </x:c>
      <x:c r="C20" s="20" t="n">
        <x:v>3</x:v>
      </x:c>
      <x:c r="D20" s="20" t="inlineStr">
        <x:is>
          <x:t xml:space="preserve">Кучкин</x:t>
        </x:is>
      </x:c>
      <x:c r="E20" s="20" t="inlineStr">
        <x:is>
          <x:t xml:space="preserve">Юность</x:t>
        </x:is>
      </x:c>
      <x:c r="F20" s="21" t="n">
        <x:v>5</x:v>
      </x:c>
      <x:c r="G20" s="21" t="n">
        <x:v>77</x:v>
      </x:c>
      <x:c r="H20" s="20" t="inlineStr">
        <x:is>
          <x:t xml:space="preserve">04.12-05.12</x:t>
        </x:is>
      </x:c>
      <x:c r="I20" s="25" t="inlineStr">
        <x:is>
          <x:t xml:space="preserve">18.01.2026</x:t>
        </x:is>
      </x:c>
    </x:row>
    <x:row r="21">
      <x:c r="A21" s="20" t="inlineStr">
        <x:is>
          <x:t xml:space="preserve">Яна</x:t>
        </x:is>
      </x:c>
      <x:c r="B21" s="20" t="inlineStr">
        <x:is>
          <x:t xml:space="preserve">Вратарь</x:t>
        </x:is>
      </x:c>
      <x:c r="C21" s="20" t="n">
        <x:v>1</x:v>
      </x:c>
      <x:c r="D21" s="20" t="inlineStr">
        <x:is>
          <x:t xml:space="preserve">Бронников</x:t>
        </x:is>
      </x:c>
      <x:c r="E21" s="20" t="inlineStr">
        <x:is>
          <x:t xml:space="preserve">Брест</x:t>
        </x:is>
      </x:c>
      <x:c r="F21" s="21" t="n">
        <x:v>0</x:v>
      </x:c>
      <x:c r="G21" s="21" t="n">
        <x:v>66</x:v>
      </x:c>
      <x:c r="H21" s="20" t="inlineStr">
        <x:is>
          <x:t xml:space="preserve">04.12-05.12</x:t>
        </x:is>
      </x:c>
      <x:c r="I21" s="25" t="inlineStr">
        <x:is>
          <x:t xml:space="preserve">18.01.2026</x:t>
        </x:is>
      </x:c>
    </x:row>
    <x:row r="22">
      <x:c r="A22" s="20" t="inlineStr">
        <x:is>
          <x:t xml:space="preserve">Яна</x:t>
        </x:is>
      </x:c>
      <x:c r="B22" s="20" t="inlineStr">
        <x:is>
          <x:t xml:space="preserve">Защитник</x:t>
        </x:is>
      </x:c>
      <x:c r="C22" s="20" t="n">
        <x:v>1</x:v>
      </x:c>
      <x:c r="D22" s="20" t="inlineStr">
        <x:is>
          <x:t xml:space="preserve">Мартынюк</x:t>
        </x:is>
      </x:c>
      <x:c r="E22" s="20" t="inlineStr">
        <x:is>
          <x:t xml:space="preserve">Брест</x:t>
        </x:is>
      </x:c>
      <x:c r="F22" s="21" t="n">
        <x:v>0</x:v>
      </x:c>
      <x:c r="G22" s="21" t="n">
        <x:v>66</x:v>
      </x:c>
      <x:c r="H22" s="20" t="inlineStr">
        <x:is>
          <x:t xml:space="preserve">04.12-05.12</x:t>
        </x:is>
      </x:c>
      <x:c r="I22" s="25" t="inlineStr">
        <x:is>
          <x:t xml:space="preserve">18.01.2026</x:t>
        </x:is>
      </x:c>
    </x:row>
    <x:row r="23">
      <x:c r="A23" s="20" t="inlineStr">
        <x:is>
          <x:t xml:space="preserve">Яна</x:t>
        </x:is>
      </x:c>
      <x:c r="B23" s="20" t="inlineStr">
        <x:is>
          <x:t xml:space="preserve">Защитник</x:t>
        </x:is>
      </x:c>
      <x:c r="C23" s="20" t="n">
        <x:v>2</x:v>
      </x:c>
      <x:c r="D23" s="20" t="inlineStr">
        <x:is>
          <x:t xml:space="preserve">Лисовец</x:t>
        </x:is>
      </x:c>
      <x:c r="E23" s="20" t="inlineStr">
        <x:is>
          <x:t xml:space="preserve">Неман</x:t>
        </x:is>
      </x:c>
      <x:c r="F23" s="21" t="n">
        <x:v>1</x:v>
      </x:c>
      <x:c r="G23" s="21" t="n">
        <x:v>66</x:v>
      </x:c>
      <x:c r="H23" s="20" t="inlineStr">
        <x:is>
          <x:t xml:space="preserve">04.12-05.12</x:t>
        </x:is>
      </x:c>
      <x:c r="I23" s="25" t="inlineStr">
        <x:is>
          <x:t xml:space="preserve">18.01.2026</x:t>
        </x:is>
      </x:c>
    </x:row>
    <x:row r="24">
      <x:c r="A24" s="20" t="inlineStr">
        <x:is>
          <x:t xml:space="preserve">Яна</x:t>
        </x:is>
      </x:c>
      <x:c r="B24" s="20" t="inlineStr">
        <x:is>
          <x:t xml:space="preserve">Нападающий</x:t>
        </x:is>
      </x:c>
      <x:c r="C24" s="20" t="n">
        <x:v>1</x:v>
      </x:c>
      <x:c r="D24" s="20" t="inlineStr">
        <x:is>
          <x:t xml:space="preserve">Кучкин</x:t>
        </x:is>
      </x:c>
      <x:c r="E24" s="20" t="inlineStr">
        <x:is>
          <x:t xml:space="preserve">Юность</x:t>
        </x:is>
      </x:c>
      <x:c r="F24" s="21" t="n">
        <x:v>5</x:v>
      </x:c>
      <x:c r="G24" s="21" t="n">
        <x:v>66</x:v>
      </x:c>
      <x:c r="H24" s="20" t="inlineStr">
        <x:is>
          <x:t xml:space="preserve">04.12-05.12</x:t>
        </x:is>
      </x:c>
      <x:c r="I24" s="25" t="inlineStr">
        <x:is>
          <x:t xml:space="preserve">18.01.2026</x:t>
        </x:is>
      </x:c>
    </x:row>
    <x:row r="25">
      <x:c r="A25" s="20" t="inlineStr">
        <x:is>
          <x:t xml:space="preserve">Яна</x:t>
        </x:is>
      </x:c>
      <x:c r="B25" s="20" t="inlineStr">
        <x:is>
          <x:t xml:space="preserve">Нападающий</x:t>
        </x:is>
      </x:c>
      <x:c r="C25" s="20" t="n">
        <x:v>2</x:v>
      </x:c>
      <x:c r="D25" s="20" t="inlineStr">
        <x:is>
          <x:t xml:space="preserve">Качеловский</x:t>
        </x:is>
      </x:c>
      <x:c r="E25" s="20" t="inlineStr">
        <x:is>
          <x:t xml:space="preserve">Гомель</x:t>
        </x:is>
      </x:c>
      <x:c r="F25" s="21" t="n">
        <x:v>1</x:v>
      </x:c>
      <x:c r="G25" s="21" t="n">
        <x:v>66</x:v>
      </x:c>
      <x:c r="H25" s="20" t="inlineStr">
        <x:is>
          <x:t xml:space="preserve">04.12-05.12</x:t>
        </x:is>
      </x:c>
      <x:c r="I25" s="25" t="inlineStr">
        <x:is>
          <x:t xml:space="preserve">18.01.2026</x:t>
        </x:is>
      </x:c>
    </x:row>
    <x:row r="26">
      <x:c r="A26" s="20" t="inlineStr">
        <x:is>
          <x:t xml:space="preserve">Яна</x:t>
        </x:is>
      </x:c>
      <x:c r="B26" s="20" t="inlineStr">
        <x:is>
          <x:t xml:space="preserve">Нападающий</x:t>
        </x:is>
      </x:c>
      <x:c r="C26" s="20" t="n">
        <x:v>3</x:v>
      </x:c>
      <x:c r="D26" s="20" t="inlineStr">
        <x:is>
          <x:t xml:space="preserve">Спат</x:t>
        </x:is>
      </x:c>
      <x:c r="E26" s="20" t="inlineStr">
        <x:is>
          <x:t xml:space="preserve">Металлург</x:t>
        </x:is>
      </x:c>
      <x:c r="F26" s="21" t="n">
        <x:v>1</x:v>
      </x:c>
      <x:c r="G26" s="21" t="n">
        <x:v>66</x:v>
      </x:c>
      <x:c r="H26" s="20" t="inlineStr">
        <x:is>
          <x:t xml:space="preserve">04.12-05.12</x:t>
        </x:is>
      </x:c>
      <x:c r="I26" s="25" t="inlineStr">
        <x:is>
          <x:t xml:space="preserve">18.01.2026</x:t>
        </x:is>
      </x:c>
    </x:row>
    <x:row r="27">
      <x:c r="A27" s="20" t="inlineStr">
        <x:is>
          <x:t xml:space="preserve">Лерка</x:t>
        </x:is>
      </x:c>
      <x:c r="B27" s="20" t="inlineStr">
        <x:is>
          <x:t xml:space="preserve">Вратарь</x:t>
        </x:is>
      </x:c>
      <x:c r="C27" s="20" t="n">
        <x:v>1</x:v>
      </x:c>
      <x:c r="D27" s="20" t="inlineStr">
        <x:is>
          <x:t xml:space="preserve">Игорь Тяло</x:t>
        </x:is>
      </x:c>
      <x:c r="E27" s="20" t="inlineStr">
        <x:is>
          <x:t xml:space="preserve">Лида</x:t>
        </x:is>
      </x:c>
      <x:c r="F27" s="21" t="n">
        <x:v>3</x:v>
      </x:c>
      <x:c r="G27" s="21" t="n">
        <x:v>83</x:v>
      </x:c>
      <x:c r="H27" s="20" t="inlineStr">
        <x:is>
          <x:t xml:space="preserve">04.12-05.12</x:t>
        </x:is>
      </x:c>
      <x:c r="I27" s="25" t="inlineStr">
        <x:is>
          <x:t xml:space="preserve">18.01.2026</x:t>
        </x:is>
      </x:c>
    </x:row>
    <x:row r="28">
      <x:c r="A28" s="20" t="inlineStr">
        <x:is>
          <x:t xml:space="preserve">Лерка</x:t>
        </x:is>
      </x:c>
      <x:c r="B28" s="20" t="inlineStr">
        <x:is>
          <x:t xml:space="preserve">Защитник</x:t>
        </x:is>
      </x:c>
      <x:c r="C28" s="20" t="n">
        <x:v>1</x:v>
      </x:c>
      <x:c r="D28" s="20" t="inlineStr">
        <x:is>
          <x:t xml:space="preserve">Ерменков</x:t>
        </x:is>
      </x:c>
      <x:c r="E28" s="20" t="inlineStr">
        <x:is>
          <x:t xml:space="preserve">Металлург</x:t>
        </x:is>
      </x:c>
      <x:c r="F28" s="21" t="n">
        <x:v>0</x:v>
      </x:c>
      <x:c r="G28" s="21" t="n">
        <x:v>83</x:v>
      </x:c>
      <x:c r="H28" s="20" t="inlineStr">
        <x:is>
          <x:t xml:space="preserve">04.12-05.12</x:t>
        </x:is>
      </x:c>
      <x:c r="I28" s="25" t="inlineStr">
        <x:is>
          <x:t xml:space="preserve">18.01.2026</x:t>
        </x:is>
      </x:c>
    </x:row>
    <x:row r="29">
      <x:c r="A29" s="20" t="inlineStr">
        <x:is>
          <x:t xml:space="preserve">Лерка</x:t>
        </x:is>
      </x:c>
      <x:c r="B29" s="20" t="inlineStr">
        <x:is>
          <x:t xml:space="preserve">Защитник</x:t>
        </x:is>
      </x:c>
      <x:c r="C29" s="20" t="n">
        <x:v>2</x:v>
      </x:c>
      <x:c r="D29" s="20" t="inlineStr">
        <x:is>
          <x:t xml:space="preserve">Сурков</x:t>
        </x:is>
      </x:c>
      <x:c r="E29" s="20" t="inlineStr">
        <x:is>
          <x:t xml:space="preserve">Молодечно</x:t>
        </x:is>
      </x:c>
      <x:c r="F29" s="21" t="n">
        <x:v>1</x:v>
      </x:c>
      <x:c r="G29" s="21" t="n">
        <x:v>83</x:v>
      </x:c>
      <x:c r="H29" s="20" t="inlineStr">
        <x:is>
          <x:t xml:space="preserve">04.12-05.12</x:t>
        </x:is>
      </x:c>
      <x:c r="I29" s="25" t="inlineStr">
        <x:is>
          <x:t xml:space="preserve">18.01.2026</x:t>
        </x:is>
      </x:c>
    </x:row>
    <x:row r="30">
      <x:c r="A30" s="20" t="inlineStr">
        <x:is>
          <x:t xml:space="preserve">Лерка</x:t>
        </x:is>
      </x:c>
      <x:c r="B30" s="20" t="inlineStr">
        <x:is>
          <x:t xml:space="preserve">Нападающий</x:t>
        </x:is>
      </x:c>
      <x:c r="C30" s="20" t="n">
        <x:v>1</x:v>
      </x:c>
      <x:c r="D30" s="20" t="inlineStr">
        <x:is>
          <x:t xml:space="preserve">Кунишников</x:t>
        </x:is>
      </x:c>
      <x:c r="E30" s="20" t="inlineStr">
        <x:is>
          <x:t xml:space="preserve">Лида</x:t>
        </x:is>
      </x:c>
      <x:c r="F30" s="21" t="n">
        <x:v>1</x:v>
      </x:c>
      <x:c r="G30" s="21" t="n">
        <x:v>83</x:v>
      </x:c>
      <x:c r="H30" s="20" t="inlineStr">
        <x:is>
          <x:t xml:space="preserve">04.12-05.12</x:t>
        </x:is>
      </x:c>
      <x:c r="I30" s="25" t="inlineStr">
        <x:is>
          <x:t xml:space="preserve">18.01.2026</x:t>
        </x:is>
      </x:c>
    </x:row>
    <x:row r="31">
      <x:c r="A31" s="20" t="inlineStr">
        <x:is>
          <x:t xml:space="preserve">Лерка</x:t>
        </x:is>
      </x:c>
      <x:c r="B31" s="20" t="inlineStr">
        <x:is>
          <x:t xml:space="preserve">Нападающий</x:t>
        </x:is>
      </x:c>
      <x:c r="C31" s="20" t="n">
        <x:v>2</x:v>
      </x:c>
      <x:c r="D31" s="20" t="inlineStr">
        <x:is>
          <x:t xml:space="preserve">Никитич</x:t>
        </x:is>
      </x:c>
      <x:c r="E31" s="20" t="inlineStr">
        <x:is>
          <x:t xml:space="preserve">Брест</x:t>
        </x:is>
      </x:c>
      <x:c r="F31" s="21" t="n">
        <x:v>2</x:v>
      </x:c>
      <x:c r="G31" s="21" t="n">
        <x:v>83</x:v>
      </x:c>
      <x:c r="H31" s="20" t="inlineStr">
        <x:is>
          <x:t xml:space="preserve">04.12-05.12</x:t>
        </x:is>
      </x:c>
      <x:c r="I31" s="25" t="inlineStr">
        <x:is>
          <x:t xml:space="preserve">18.01.2026</x:t>
        </x:is>
      </x:c>
    </x:row>
    <x:row r="32">
      <x:c r="A32" s="20" t="inlineStr">
        <x:is>
          <x:t xml:space="preserve">Лерка</x:t>
        </x:is>
      </x:c>
      <x:c r="B32" s="20" t="inlineStr">
        <x:is>
          <x:t xml:space="preserve">Нападающий</x:t>
        </x:is>
      </x:c>
      <x:c r="C32" s="20" t="n">
        <x:v>3</x:v>
      </x:c>
      <x:c r="D32" s="20" t="inlineStr">
        <x:is>
          <x:t xml:space="preserve">Поддубный</x:t>
        </x:is>
      </x:c>
      <x:c r="E32" s="20" t="inlineStr">
        <x:is>
          <x:t xml:space="preserve">Неман</x:t>
        </x:is>
      </x:c>
      <x:c r="F32" s="21" t="n">
        <x:v>1</x:v>
      </x:c>
      <x:c r="G32" s="21" t="n">
        <x:v>83</x:v>
      </x:c>
      <x:c r="H32" s="20" t="inlineStr">
        <x:is>
          <x:t xml:space="preserve">04.12-05.12</x:t>
        </x:is>
      </x:c>
      <x:c r="I32" s="25" t="inlineStr">
        <x:is>
          <x:t xml:space="preserve">18.01.2026</x:t>
        </x:is>
      </x:c>
    </x:row>
    <x:row r="33">
      <x:c r="A33" s="20" t="inlineStr">
        <x:is>
          <x:t xml:space="preserve">Валера Волович</x:t>
        </x:is>
      </x:c>
      <x:c r="B33" s="20" t="inlineStr">
        <x:is>
          <x:t xml:space="preserve">Вратарь</x:t>
        </x:is>
      </x:c>
      <x:c r="C33" s="20" t="n">
        <x:v>1</x:v>
      </x:c>
      <x:c r="D33" s="20" t="inlineStr">
        <x:is>
          <x:t xml:space="preserve">Игорь Тяло</x:t>
        </x:is>
      </x:c>
      <x:c r="E33" s="20" t="inlineStr">
        <x:is>
          <x:t xml:space="preserve">Лида</x:t>
        </x:is>
      </x:c>
      <x:c r="F33" s="21" t="n">
        <x:v>3</x:v>
      </x:c>
      <x:c r="G33" s="21" t="n">
        <x:v>60</x:v>
      </x:c>
      <x:c r="H33" s="20" t="inlineStr">
        <x:is>
          <x:t xml:space="preserve">04.12-05.12</x:t>
        </x:is>
      </x:c>
      <x:c r="I33" s="25" t="inlineStr">
        <x:is>
          <x:t xml:space="preserve">18.01.2026</x:t>
        </x:is>
      </x:c>
    </x:row>
    <x:row r="34">
      <x:c r="A34" s="20" t="inlineStr">
        <x:is>
          <x:t xml:space="preserve">Валера Волович</x:t>
        </x:is>
      </x:c>
      <x:c r="B34" s="20" t="inlineStr">
        <x:is>
          <x:t xml:space="preserve">Защитник</x:t>
        </x:is>
      </x:c>
      <x:c r="C34" s="20" t="n">
        <x:v>1</x:v>
      </x:c>
      <x:c r="D34" s="20" t="inlineStr">
        <x:is>
          <x:t xml:space="preserve">Знахаренко</x:t>
        </x:is>
      </x:c>
      <x:c r="E34" s="20" t="inlineStr">
        <x:is>
          <x:t xml:space="preserve">Брест</x:t>
        </x:is>
      </x:c>
      <x:c r="F34" s="21" t="n">
        <x:v>0</x:v>
      </x:c>
      <x:c r="G34" s="21" t="n">
        <x:v>60</x:v>
      </x:c>
      <x:c r="H34" s="20" t="inlineStr">
        <x:is>
          <x:t xml:space="preserve">04.12-05.12</x:t>
        </x:is>
      </x:c>
      <x:c r="I34" s="25" t="inlineStr">
        <x:is>
          <x:t xml:space="preserve">18.01.2026</x:t>
        </x:is>
      </x:c>
    </x:row>
    <x:row r="35">
      <x:c r="A35" s="20" t="inlineStr">
        <x:is>
          <x:t xml:space="preserve">Валера Волович</x:t>
        </x:is>
      </x:c>
      <x:c r="B35" s="20" t="inlineStr">
        <x:is>
          <x:t xml:space="preserve">Защитник</x:t>
        </x:is>
      </x:c>
      <x:c r="C35" s="20" t="n">
        <x:v>2</x:v>
      </x:c>
      <x:c r="D35" s="20" t="inlineStr">
        <x:is>
          <x:t xml:space="preserve">Замлянкин</x:t>
        </x:is>
      </x:c>
      <x:c r="E35" s="20" t="inlineStr">
        <x:is>
          <x:t xml:space="preserve">Химик</x:t>
        </x:is>
      </x:c>
      <x:c r="F35" s="21" t="n">
        <x:v>0</x:v>
      </x:c>
      <x:c r="G35" s="21" t="n">
        <x:v>60</x:v>
      </x:c>
      <x:c r="H35" s="20" t="inlineStr">
        <x:is>
          <x:t xml:space="preserve">04.12-05.12</x:t>
        </x:is>
      </x:c>
      <x:c r="I35" s="25" t="inlineStr">
        <x:is>
          <x:t xml:space="preserve">18.01.2026</x:t>
        </x:is>
      </x:c>
    </x:row>
    <x:row r="36">
      <x:c r="A36" s="20" t="inlineStr">
        <x:is>
          <x:t xml:space="preserve">Валера Волович</x:t>
        </x:is>
      </x:c>
      <x:c r="B36" s="20" t="inlineStr">
        <x:is>
          <x:t xml:space="preserve">Нападающий</x:t>
        </x:is>
      </x:c>
      <x:c r="C36" s="20" t="n">
        <x:v>1</x:v>
      </x:c>
      <x:c r="D36" s="20" t="inlineStr">
        <x:is>
          <x:t xml:space="preserve">Кунишников</x:t>
        </x:is>
      </x:c>
      <x:c r="E36" s="20" t="inlineStr">
        <x:is>
          <x:t xml:space="preserve">Лида</x:t>
        </x:is>
      </x:c>
      <x:c r="F36" s="21" t="n">
        <x:v>1</x:v>
      </x:c>
      <x:c r="G36" s="21" t="n">
        <x:v>60</x:v>
      </x:c>
      <x:c r="H36" s="20" t="inlineStr">
        <x:is>
          <x:t xml:space="preserve">04.12-05.12</x:t>
        </x:is>
      </x:c>
      <x:c r="I36" s="25" t="inlineStr">
        <x:is>
          <x:t xml:space="preserve">18.01.2026</x:t>
        </x:is>
      </x:c>
    </x:row>
    <x:row r="37">
      <x:c r="A37" s="20" t="inlineStr">
        <x:is>
          <x:t xml:space="preserve">Валера Волович</x:t>
        </x:is>
      </x:c>
      <x:c r="B37" s="20" t="inlineStr">
        <x:is>
          <x:t xml:space="preserve">Нападающий</x:t>
        </x:is>
      </x:c>
      <x:c r="C37" s="20" t="n">
        <x:v>2</x:v>
      </x:c>
      <x:c r="D37" s="20" t="inlineStr">
        <x:is>
          <x:t xml:space="preserve">Кулагин</x:t>
        </x:is>
      </x:c>
      <x:c r="E37" s="20" t="inlineStr">
        <x:is>
          <x:t xml:space="preserve">Юность</x:t>
        </x:is>
      </x:c>
      <x:c r="F37" s="21" t="n">
        <x:v>0</x:v>
      </x:c>
      <x:c r="G37" s="21" t="n">
        <x:v>60</x:v>
      </x:c>
      <x:c r="H37" s="20" t="inlineStr">
        <x:is>
          <x:t xml:space="preserve">04.12-05.12</x:t>
        </x:is>
      </x:c>
      <x:c r="I37" s="25" t="inlineStr">
        <x:is>
          <x:t xml:space="preserve">18.01.2026</x:t>
        </x:is>
      </x:c>
    </x:row>
    <x:row r="38">
      <x:c r="A38" s="20" t="inlineStr">
        <x:is>
          <x:t xml:space="preserve">Валера Волович</x:t>
        </x:is>
      </x:c>
      <x:c r="B38" s="20" t="inlineStr">
        <x:is>
          <x:t xml:space="preserve">Нападающий</x:t>
        </x:is>
      </x:c>
      <x:c r="C38" s="20" t="n">
        <x:v>3</x:v>
      </x:c>
      <x:c r="D38" s="20" t="inlineStr">
        <x:is>
          <x:t xml:space="preserve">Козячий</x:t>
        </x:is>
      </x:c>
      <x:c r="E38" s="20" t="inlineStr">
        <x:is>
          <x:t xml:space="preserve">Металлург</x:t>
        </x:is>
      </x:c>
      <x:c r="F38" s="21" t="n">
        <x:v>0</x:v>
      </x:c>
      <x:c r="G38" s="21" t="n">
        <x:v>60</x:v>
      </x:c>
      <x:c r="H38" s="20" t="inlineStr">
        <x:is>
          <x:t xml:space="preserve">04.12-05.12</x:t>
        </x:is>
      </x:c>
      <x:c r="I38" s="25" t="inlineStr">
        <x:is>
          <x:t xml:space="preserve">18.01.2026</x:t>
        </x:is>
      </x:c>
    </x:row>
    <x:row r="39">
      <x:c r="A39" s="20" t="inlineStr">
        <x:is>
          <x:t xml:space="preserve">Dasha</x:t>
        </x:is>
      </x:c>
      <x:c r="B39" s="20" t="inlineStr">
        <x:is>
          <x:t xml:space="preserve">Вратарь</x:t>
        </x:is>
      </x:c>
      <x:c r="C39" s="20" t="n">
        <x:v>1</x:v>
      </x:c>
      <x:c r="D39" s="20" t="inlineStr">
        <x:is>
          <x:t xml:space="preserve">Игорь Тяло</x:t>
        </x:is>
      </x:c>
      <x:c r="E39" s="20" t="inlineStr">
        <x:is>
          <x:t xml:space="preserve">Лида</x:t>
        </x:is>
      </x:c>
      <x:c r="F39" s="21" t="n">
        <x:v>3</x:v>
      </x:c>
      <x:c r="G39" s="21" t="n">
        <x:v>60</x:v>
      </x:c>
      <x:c r="H39" s="20" t="inlineStr">
        <x:is>
          <x:t xml:space="preserve">04.12-05.12</x:t>
        </x:is>
      </x:c>
      <x:c r="I39" s="25" t="inlineStr">
        <x:is>
          <x:t xml:space="preserve">18.01.2026</x:t>
        </x:is>
      </x:c>
    </x:row>
    <x:row r="40">
      <x:c r="A40" s="20" t="inlineStr">
        <x:is>
          <x:t xml:space="preserve">Dasha</x:t>
        </x:is>
      </x:c>
      <x:c r="B40" s="20" t="inlineStr">
        <x:is>
          <x:t xml:space="preserve">Защитник</x:t>
        </x:is>
      </x:c>
      <x:c r="C40" s="20" t="n">
        <x:v>1</x:v>
      </x:c>
      <x:c r="D40" s="20" t="inlineStr">
        <x:is>
          <x:t xml:space="preserve">Гостев</x:t>
        </x:is>
      </x:c>
      <x:c r="E40" s="20" t="inlineStr">
        <x:is>
          <x:t xml:space="preserve">Юность</x:t>
        </x:is>
      </x:c>
      <x:c r="F40" s="21" t="n">
        <x:v>0</x:v>
      </x:c>
      <x:c r="G40" s="21" t="n">
        <x:v>60</x:v>
      </x:c>
      <x:c r="H40" s="20" t="inlineStr">
        <x:is>
          <x:t xml:space="preserve">04.12-05.12</x:t>
        </x:is>
      </x:c>
      <x:c r="I40" s="25" t="inlineStr">
        <x:is>
          <x:t xml:space="preserve">18.01.2026</x:t>
        </x:is>
      </x:c>
    </x:row>
    <x:row r="41">
      <x:c r="A41" s="20" t="inlineStr">
        <x:is>
          <x:t xml:space="preserve">Dasha</x:t>
        </x:is>
      </x:c>
      <x:c r="B41" s="20" t="inlineStr">
        <x:is>
          <x:t xml:space="preserve">Защитник</x:t>
        </x:is>
      </x:c>
      <x:c r="C41" s="20" t="n">
        <x:v>2</x:v>
      </x:c>
      <x:c r="D41" s="20" t="inlineStr">
        <x:is>
          <x:t xml:space="preserve">Иванов</x:t>
        </x:is>
      </x:c>
      <x:c r="E41" s="20" t="inlineStr">
        <x:is>
          <x:t xml:space="preserve">Брест</x:t>
        </x:is>
      </x:c>
      <x:c r="F41" s="21" t="n">
        <x:v>0</x:v>
      </x:c>
      <x:c r="G41" s="21" t="n">
        <x:v>60</x:v>
      </x:c>
      <x:c r="H41" s="20" t="inlineStr">
        <x:is>
          <x:t xml:space="preserve">04.12-05.12</x:t>
        </x:is>
      </x:c>
      <x:c r="I41" s="25" t="inlineStr">
        <x:is>
          <x:t xml:space="preserve">18.01.2026</x:t>
        </x:is>
      </x:c>
    </x:row>
    <x:row r="42">
      <x:c r="A42" s="20" t="inlineStr">
        <x:is>
          <x:t xml:space="preserve">Dasha</x:t>
        </x:is>
      </x:c>
      <x:c r="B42" s="20" t="inlineStr">
        <x:is>
          <x:t xml:space="preserve">Нападающий</x:t>
        </x:is>
      </x:c>
      <x:c r="C42" s="20" t="n">
        <x:v>1</x:v>
      </x:c>
      <x:c r="D42" s="20" t="inlineStr">
        <x:is>
          <x:t xml:space="preserve">Качеловский</x:t>
        </x:is>
      </x:c>
      <x:c r="E42" s="20" t="inlineStr">
        <x:is>
          <x:t xml:space="preserve">Гомель</x:t>
        </x:is>
      </x:c>
      <x:c r="F42" s="21" t="n">
        <x:v>1</x:v>
      </x:c>
      <x:c r="G42" s="21" t="n">
        <x:v>60</x:v>
      </x:c>
      <x:c r="H42" s="20" t="inlineStr">
        <x:is>
          <x:t xml:space="preserve">04.12-05.12</x:t>
        </x:is>
      </x:c>
      <x:c r="I42" s="25" t="inlineStr">
        <x:is>
          <x:t xml:space="preserve">18.01.2026</x:t>
        </x:is>
      </x:c>
    </x:row>
    <x:row r="43">
      <x:c r="A43" s="20" t="inlineStr">
        <x:is>
          <x:t xml:space="preserve">Dasha</x:t>
        </x:is>
      </x:c>
      <x:c r="B43" s="20" t="inlineStr">
        <x:is>
          <x:t xml:space="preserve">Нападающий</x:t>
        </x:is>
      </x:c>
      <x:c r="C43" s="20" t="n">
        <x:v>2</x:v>
      </x:c>
      <x:c r="D43" s="20" t="inlineStr">
        <x:is>
          <x:t xml:space="preserve">Кунишников</x:t>
        </x:is>
      </x:c>
      <x:c r="E43" s="20" t="inlineStr">
        <x:is>
          <x:t xml:space="preserve">Лида</x:t>
        </x:is>
      </x:c>
      <x:c r="F43" s="21" t="n">
        <x:v>1</x:v>
      </x:c>
      <x:c r="G43" s="21" t="n">
        <x:v>60</x:v>
      </x:c>
      <x:c r="H43" s="20" t="inlineStr">
        <x:is>
          <x:t xml:space="preserve">04.12-05.12</x:t>
        </x:is>
      </x:c>
      <x:c r="I43" s="25" t="inlineStr">
        <x:is>
          <x:t xml:space="preserve">18.01.2026</x:t>
        </x:is>
      </x:c>
    </x:row>
    <x:row r="44">
      <x:c r="A44" s="20" t="inlineStr">
        <x:is>
          <x:t xml:space="preserve">Dasha</x:t>
        </x:is>
      </x:c>
      <x:c r="B44" s="20" t="inlineStr">
        <x:is>
          <x:t xml:space="preserve">Нападающий</x:t>
        </x:is>
      </x:c>
      <x:c r="C44" s="20" t="n">
        <x:v>3</x:v>
      </x:c>
      <x:c r="D44" s="20" t="inlineStr">
        <x:is>
          <x:t xml:space="preserve">Жуковский</x:t>
        </x:is>
      </x:c>
      <x:c r="E44" s="20" t="inlineStr">
        <x:is>
          <x:t xml:space="preserve">Неман</x:t>
        </x:is>
      </x:c>
      <x:c r="F44" s="21" t="n">
        <x:v>0</x:v>
      </x:c>
      <x:c r="G44" s="21" t="n">
        <x:v>60</x:v>
      </x:c>
      <x:c r="H44" s="20" t="inlineStr">
        <x:is>
          <x:t xml:space="preserve">04.12-05.12</x:t>
        </x:is>
      </x:c>
      <x:c r="I44" s="25" t="inlineStr">
        <x:is>
          <x:t xml:space="preserve">18.01.2026</x:t>
        </x:is>
      </x:c>
    </x:row>
    <x:row r="45">
      <x:c r="A45" s="20" t="inlineStr">
        <x:is>
          <x:t xml:space="preserve">Влада</x:t>
        </x:is>
      </x:c>
      <x:c r="B45" s="20" t="inlineStr">
        <x:is>
          <x:t xml:space="preserve">Вратарь</x:t>
        </x:is>
      </x:c>
      <x:c r="C45" s="20" t="n">
        <x:v>1</x:v>
      </x:c>
      <x:c r="D45" s="20" t="inlineStr">
        <x:is>
          <x:t xml:space="preserve">Мытник</x:t>
        </x:is>
      </x:c>
      <x:c r="E45" s="20" t="inlineStr">
        <x:is>
          <x:t xml:space="preserve">Юность</x:t>
        </x:is>
      </x:c>
      <x:c r="F45" s="21" t="n">
        <x:v>1</x:v>
      </x:c>
      <x:c r="G45" s="21" t="n">
        <x:v>65</x:v>
      </x:c>
      <x:c r="H45" s="20" t="inlineStr">
        <x:is>
          <x:t xml:space="preserve">04.12-05.12</x:t>
        </x:is>
      </x:c>
      <x:c r="I45" s="25" t="inlineStr">
        <x:is>
          <x:t xml:space="preserve">18.01.2026</x:t>
        </x:is>
      </x:c>
    </x:row>
    <x:row r="46">
      <x:c r="A46" s="20" t="inlineStr">
        <x:is>
          <x:t xml:space="preserve">Влада</x:t>
        </x:is>
      </x:c>
      <x:c r="B46" s="20" t="inlineStr">
        <x:is>
          <x:t xml:space="preserve">Защитник</x:t>
        </x:is>
      </x:c>
      <x:c r="C46" s="20" t="n">
        <x:v>1</x:v>
      </x:c>
      <x:c r="D46" s="20" t="inlineStr">
        <x:is>
          <x:t xml:space="preserve">Гостев</x:t>
        </x:is>
      </x:c>
      <x:c r="E46" s="20" t="inlineStr">
        <x:is>
          <x:t xml:space="preserve">Юность</x:t>
        </x:is>
      </x:c>
      <x:c r="F46" s="21" t="n">
        <x:v>0</x:v>
      </x:c>
      <x:c r="G46" s="21" t="n">
        <x:v>65</x:v>
      </x:c>
      <x:c r="H46" s="20" t="inlineStr">
        <x:is>
          <x:t xml:space="preserve">04.12-05.12</x:t>
        </x:is>
      </x:c>
      <x:c r="I46" s="25" t="inlineStr">
        <x:is>
          <x:t xml:space="preserve">18.01.2026</x:t>
        </x:is>
      </x:c>
    </x:row>
    <x:row r="47">
      <x:c r="A47" s="20" t="inlineStr">
        <x:is>
          <x:t xml:space="preserve">Влада</x:t>
        </x:is>
      </x:c>
      <x:c r="B47" s="20" t="inlineStr">
        <x:is>
          <x:t xml:space="preserve">Защитник</x:t>
        </x:is>
      </x:c>
      <x:c r="C47" s="20" t="n">
        <x:v>2</x:v>
      </x:c>
      <x:c r="D47" s="20" t="inlineStr">
        <x:is>
          <x:t xml:space="preserve">Сурков</x:t>
        </x:is>
      </x:c>
      <x:c r="E47" s="20" t="inlineStr">
        <x:is>
          <x:t xml:space="preserve">Молодечно</x:t>
        </x:is>
      </x:c>
      <x:c r="F47" s="21" t="n">
        <x:v>1</x:v>
      </x:c>
      <x:c r="G47" s="21" t="n">
        <x:v>65</x:v>
      </x:c>
      <x:c r="H47" s="20" t="inlineStr">
        <x:is>
          <x:t xml:space="preserve">04.12-05.12</x:t>
        </x:is>
      </x:c>
      <x:c r="I47" s="25" t="inlineStr">
        <x:is>
          <x:t xml:space="preserve">18.01.2026</x:t>
        </x:is>
      </x:c>
    </x:row>
    <x:row r="48">
      <x:c r="A48" s="20" t="inlineStr">
        <x:is>
          <x:t xml:space="preserve">Влада</x:t>
        </x:is>
      </x:c>
      <x:c r="B48" s="20" t="inlineStr">
        <x:is>
          <x:t xml:space="preserve">Нападающий</x:t>
        </x:is>
      </x:c>
      <x:c r="C48" s="20" t="n">
        <x:v>1</x:v>
      </x:c>
      <x:c r="D48" s="20" t="inlineStr">
        <x:is>
          <x:t xml:space="preserve">Качеловский</x:t>
        </x:is>
      </x:c>
      <x:c r="E48" s="20" t="inlineStr">
        <x:is>
          <x:t xml:space="preserve">Гомель</x:t>
        </x:is>
      </x:c>
      <x:c r="F48" s="21" t="n">
        <x:v>1</x:v>
      </x:c>
      <x:c r="G48" s="21" t="n">
        <x:v>65</x:v>
      </x:c>
      <x:c r="H48" s="20" t="inlineStr">
        <x:is>
          <x:t xml:space="preserve">04.12-05.12</x:t>
        </x:is>
      </x:c>
      <x:c r="I48" s="25" t="inlineStr">
        <x:is>
          <x:t xml:space="preserve">18.01.2026</x:t>
        </x:is>
      </x:c>
    </x:row>
    <x:row r="49">
      <x:c r="A49" s="20" t="inlineStr">
        <x:is>
          <x:t xml:space="preserve">Влада</x:t>
        </x:is>
      </x:c>
      <x:c r="B49" s="20" t="inlineStr">
        <x:is>
          <x:t xml:space="preserve">Нападающий</x:t>
        </x:is>
      </x:c>
      <x:c r="C49" s="20" t="n">
        <x:v>2</x:v>
      </x:c>
      <x:c r="D49" s="20" t="inlineStr">
        <x:is>
          <x:t xml:space="preserve">Кунишников</x:t>
        </x:is>
      </x:c>
      <x:c r="E49" s="20" t="inlineStr">
        <x:is>
          <x:t xml:space="preserve">Лида</x:t>
        </x:is>
      </x:c>
      <x:c r="F49" s="21" t="n">
        <x:v>1</x:v>
      </x:c>
      <x:c r="G49" s="21" t="n">
        <x:v>65</x:v>
      </x:c>
      <x:c r="H49" s="20" t="inlineStr">
        <x:is>
          <x:t xml:space="preserve">04.12-05.12</x:t>
        </x:is>
      </x:c>
      <x:c r="I49" s="25" t="inlineStr">
        <x:is>
          <x:t xml:space="preserve">18.01.2026</x:t>
        </x:is>
      </x:c>
    </x:row>
    <x:row r="50">
      <x:c r="A50" s="20" t="inlineStr">
        <x:is>
          <x:t xml:space="preserve">Влада</x:t>
        </x:is>
      </x:c>
      <x:c r="B50" s="20" t="inlineStr">
        <x:is>
          <x:t xml:space="preserve">Нападающий</x:t>
        </x:is>
      </x:c>
      <x:c r="C50" s="20" t="n">
        <x:v>3</x:v>
      </x:c>
      <x:c r="D50" s="20" t="inlineStr">
        <x:is>
          <x:t xml:space="preserve">Ипатов</x:t>
        </x:is>
      </x:c>
      <x:c r="E50" s="20" t="inlineStr">
        <x:is>
          <x:t xml:space="preserve">Витебск</x:t>
        </x:is>
      </x:c>
      <x:c r="F50" s="21" t="n">
        <x:v>2</x:v>
      </x:c>
      <x:c r="G50" s="21" t="n">
        <x:v>65</x:v>
      </x:c>
      <x:c r="H50" s="20" t="inlineStr">
        <x:is>
          <x:t xml:space="preserve">04.12-05.12</x:t>
        </x:is>
      </x:c>
      <x:c r="I50" s="25" t="inlineStr">
        <x:is>
          <x:t xml:space="preserve">18.01.2026</x:t>
        </x:is>
      </x:c>
    </x:row>
    <x:row r="51">
      <x:c r="A51" s="20" t="inlineStr">
        <x:is>
          <x:t xml:space="preserve">Андрей</x:t>
        </x:is>
      </x:c>
      <x:c r="B51" s="20" t="inlineStr">
        <x:is>
          <x:t xml:space="preserve">Вратарь</x:t>
        </x:is>
      </x:c>
      <x:c r="C51" s="20" t="n">
        <x:v>1</x:v>
      </x:c>
      <x:c r="D51" s="20" t="inlineStr">
        <x:is>
          <x:t xml:space="preserve">Бронников</x:t>
        </x:is>
      </x:c>
      <x:c r="E51" s="20" t="inlineStr">
        <x:is>
          <x:t xml:space="preserve">Брест</x:t>
        </x:is>
      </x:c>
      <x:c r="F51" s="21" t="n">
        <x:v>0</x:v>
      </x:c>
      <x:c r="G51" s="21" t="n">
        <x:v>62</x:v>
      </x:c>
      <x:c r="H51" s="20" t="inlineStr">
        <x:is>
          <x:t xml:space="preserve">04.12-05.12</x:t>
        </x:is>
      </x:c>
      <x:c r="I51" s="25" t="inlineStr">
        <x:is>
          <x:t xml:space="preserve">18.01.2026</x:t>
        </x:is>
      </x:c>
    </x:row>
    <x:row r="52">
      <x:c r="A52" s="20" t="inlineStr">
        <x:is>
          <x:t xml:space="preserve">Андрей</x:t>
        </x:is>
      </x:c>
      <x:c r="B52" s="20" t="inlineStr">
        <x:is>
          <x:t xml:space="preserve">Защитник</x:t>
        </x:is>
      </x:c>
      <x:c r="C52" s="20" t="n">
        <x:v>1</x:v>
      </x:c>
      <x:c r="D52" s="20" t="inlineStr">
        <x:is>
          <x:t xml:space="preserve">Гостев</x:t>
        </x:is>
      </x:c>
      <x:c r="E52" s="20" t="inlineStr">
        <x:is>
          <x:t xml:space="preserve">Юность</x:t>
        </x:is>
      </x:c>
      <x:c r="F52" s="21" t="n">
        <x:v>0</x:v>
      </x:c>
      <x:c r="G52" s="21" t="n">
        <x:v>62</x:v>
      </x:c>
      <x:c r="H52" s="20" t="inlineStr">
        <x:is>
          <x:t xml:space="preserve">04.12-05.12</x:t>
        </x:is>
      </x:c>
      <x:c r="I52" s="25" t="inlineStr">
        <x:is>
          <x:t xml:space="preserve">18.01.2026</x:t>
        </x:is>
      </x:c>
    </x:row>
    <x:row r="53">
      <x:c r="A53" s="20" t="inlineStr">
        <x:is>
          <x:t xml:space="preserve">Андрей</x:t>
        </x:is>
      </x:c>
      <x:c r="B53" s="20" t="inlineStr">
        <x:is>
          <x:t xml:space="preserve">Защитник</x:t>
        </x:is>
      </x:c>
      <x:c r="C53" s="20" t="n">
        <x:v>2</x:v>
      </x:c>
      <x:c r="D53" s="20" t="inlineStr">
        <x:is>
          <x:t xml:space="preserve">Сурков</x:t>
        </x:is>
      </x:c>
      <x:c r="E53" s="20" t="inlineStr">
        <x:is>
          <x:t xml:space="preserve">Молодечно</x:t>
        </x:is>
      </x:c>
      <x:c r="F53" s="21" t="n">
        <x:v>1</x:v>
      </x:c>
      <x:c r="G53" s="21" t="n">
        <x:v>62</x:v>
      </x:c>
      <x:c r="H53" s="20" t="inlineStr">
        <x:is>
          <x:t xml:space="preserve">04.12-05.12</x:t>
        </x:is>
      </x:c>
      <x:c r="I53" s="25" t="inlineStr">
        <x:is>
          <x:t xml:space="preserve">18.01.2026</x:t>
        </x:is>
      </x:c>
    </x:row>
    <x:row r="54">
      <x:c r="A54" s="20" t="inlineStr">
        <x:is>
          <x:t xml:space="preserve">Андрей</x:t>
        </x:is>
      </x:c>
      <x:c r="B54" s="20" t="inlineStr">
        <x:is>
          <x:t xml:space="preserve">Нападающий</x:t>
        </x:is>
      </x:c>
      <x:c r="C54" s="20" t="n">
        <x:v>1</x:v>
      </x:c>
      <x:c r="D54" s="20" t="inlineStr">
        <x:is>
          <x:t xml:space="preserve">Кунишников</x:t>
        </x:is>
      </x:c>
      <x:c r="E54" s="20" t="inlineStr">
        <x:is>
          <x:t xml:space="preserve">Лида</x:t>
        </x:is>
      </x:c>
      <x:c r="F54" s="21" t="n">
        <x:v>1</x:v>
      </x:c>
      <x:c r="G54" s="21" t="n">
        <x:v>62</x:v>
      </x:c>
      <x:c r="H54" s="20" t="inlineStr">
        <x:is>
          <x:t xml:space="preserve">04.12-05.12</x:t>
        </x:is>
      </x:c>
      <x:c r="I54" s="25" t="inlineStr">
        <x:is>
          <x:t xml:space="preserve">18.01.2026</x:t>
        </x:is>
      </x:c>
    </x:row>
    <x:row r="55">
      <x:c r="A55" s="20" t="inlineStr">
        <x:is>
          <x:t xml:space="preserve">Андрей</x:t>
        </x:is>
      </x:c>
      <x:c r="B55" s="20" t="inlineStr">
        <x:is>
          <x:t xml:space="preserve">Нападающий</x:t>
        </x:is>
      </x:c>
      <x:c r="C55" s="20" t="n">
        <x:v>2</x:v>
      </x:c>
      <x:c r="D55" s="20" t="inlineStr">
        <x:is>
          <x:t xml:space="preserve">Веремеенко</x:t>
        </x:is>
      </x:c>
      <x:c r="E55" s="20" t="inlineStr">
        <x:is>
          <x:t xml:space="preserve">Металург</x:t>
        </x:is>
      </x:c>
      <x:c r="F55" s="21" t="n">
        <x:v>3</x:v>
      </x:c>
      <x:c r="G55" s="21" t="n">
        <x:v>62</x:v>
      </x:c>
      <x:c r="H55" s="20" t="inlineStr">
        <x:is>
          <x:t xml:space="preserve">04.12-05.12</x:t>
        </x:is>
      </x:c>
      <x:c r="I55" s="25" t="inlineStr">
        <x:is>
          <x:t xml:space="preserve">18.01.2026</x:t>
        </x:is>
      </x:c>
    </x:row>
    <x:row r="56">
      <x:c r="A56" s="20" t="inlineStr">
        <x:is>
          <x:t xml:space="preserve">Андрей</x:t>
        </x:is>
      </x:c>
      <x:c r="B56" s="20" t="inlineStr">
        <x:is>
          <x:t xml:space="preserve">Нападающий</x:t>
        </x:is>
      </x:c>
      <x:c r="C56" s="20" t="n">
        <x:v>3</x:v>
      </x:c>
      <x:c r="D56" s="20" t="inlineStr">
        <x:is>
          <x:t xml:space="preserve">Кулиев</x:t>
        </x:is>
      </x:c>
      <x:c r="E56" s="20" t="inlineStr">
        <x:is>
          <x:t xml:space="preserve">Брест</x:t>
        </x:is>
      </x:c>
      <x:c r="F56" s="21" t="n">
        <x:v>0</x:v>
      </x:c>
      <x:c r="G56" s="21" t="n">
        <x:v>62</x:v>
      </x:c>
      <x:c r="H56" s="20" t="inlineStr">
        <x:is>
          <x:t xml:space="preserve">04.12-05.12</x:t>
        </x:is>
      </x:c>
      <x:c r="I56" s="25" t="inlineStr">
        <x:is>
          <x:t xml:space="preserve">18.01.2026</x:t>
        </x:is>
      </x:c>
    </x:row>
    <x:row r="57">
      <x:c r="A57" s="20" t="inlineStr">
        <x:is>
          <x:t xml:space="preserve">Александр Свиридов</x:t>
        </x:is>
      </x:c>
      <x:c r="B57" s="20" t="inlineStr">
        <x:is>
          <x:t xml:space="preserve">Вратарь</x:t>
        </x:is>
      </x:c>
      <x:c r="C57" s="20" t="n">
        <x:v>1</x:v>
      </x:c>
      <x:c r="D57" s="20" t="inlineStr">
        <x:is>
          <x:t xml:space="preserve">Степанов</x:t>
        </x:is>
      </x:c>
      <x:c r="E57" s="20" t="inlineStr">
        <x:is>
          <x:t xml:space="preserve">Молодечно</x:t>
        </x:is>
      </x:c>
      <x:c r="F57" s="21" t="n">
        <x:v>0</x:v>
      </x:c>
      <x:c r="G57" s="21" t="n">
        <x:v>37</x:v>
      </x:c>
      <x:c r="H57" s="20" t="inlineStr">
        <x:is>
          <x:t xml:space="preserve">04.12-05.12</x:t>
        </x:is>
      </x:c>
      <x:c r="I57" s="25" t="inlineStr">
        <x:is>
          <x:t xml:space="preserve">18.01.2026</x:t>
        </x:is>
      </x:c>
    </x:row>
    <x:row r="58">
      <x:c r="A58" s="20" t="inlineStr">
        <x:is>
          <x:t xml:space="preserve">Александр Свиридов</x:t>
        </x:is>
      </x:c>
      <x:c r="B58" s="20" t="inlineStr">
        <x:is>
          <x:t xml:space="preserve">Защитник</x:t>
        </x:is>
      </x:c>
      <x:c r="C58" s="20" t="n">
        <x:v>1</x:v>
      </x:c>
      <x:c r="D58" s="20" t="inlineStr">
        <x:is>
          <x:t xml:space="preserve">Шикуть</x:t>
        </x:is>
      </x:c>
      <x:c r="E58" s="20" t="inlineStr">
        <x:is>
          <x:t xml:space="preserve">Юность</x:t>
        </x:is>
      </x:c>
      <x:c r="F58" s="21" t="n">
        <x:v>0</x:v>
      </x:c>
      <x:c r="G58" s="21" t="n">
        <x:v>37</x:v>
      </x:c>
      <x:c r="H58" s="20" t="inlineStr">
        <x:is>
          <x:t xml:space="preserve">04.12-05.12</x:t>
        </x:is>
      </x:c>
      <x:c r="I58" s="25" t="inlineStr">
        <x:is>
          <x:t xml:space="preserve">18.01.2026</x:t>
        </x:is>
      </x:c>
    </x:row>
    <x:row r="59">
      <x:c r="A59" s="20" t="inlineStr">
        <x:is>
          <x:t xml:space="preserve">Александр Свиридов</x:t>
        </x:is>
      </x:c>
      <x:c r="B59" s="20" t="inlineStr">
        <x:is>
          <x:t xml:space="preserve">Защитник</x:t>
        </x:is>
      </x:c>
      <x:c r="C59" s="20" t="n">
        <x:v>2</x:v>
      </x:c>
      <x:c r="D59" s="20" t="inlineStr">
        <x:is>
          <x:t xml:space="preserve">Антоновский</x:t>
        </x:is>
      </x:c>
      <x:c r="E59" s="20" t="inlineStr">
        <x:is>
          <x:t xml:space="preserve">Славутич</x:t>
        </x:is>
      </x:c>
      <x:c r="F59" s="21" t="n">
        <x:v>0</x:v>
      </x:c>
      <x:c r="G59" s="21" t="n">
        <x:v>37</x:v>
      </x:c>
      <x:c r="H59" s="20" t="inlineStr">
        <x:is>
          <x:t xml:space="preserve">04.12-05.12</x:t>
        </x:is>
      </x:c>
      <x:c r="I59" s="25" t="inlineStr">
        <x:is>
          <x:t xml:space="preserve">18.01.2026</x:t>
        </x:is>
      </x:c>
    </x:row>
    <x:row r="60">
      <x:c r="A60" s="20" t="inlineStr">
        <x:is>
          <x:t xml:space="preserve">Александр Свиридов</x:t>
        </x:is>
      </x:c>
      <x:c r="B60" s="20" t="inlineStr">
        <x:is>
          <x:t xml:space="preserve">Нападающий</x:t>
        </x:is>
      </x:c>
      <x:c r="C60" s="20" t="n">
        <x:v>1</x:v>
      </x:c>
      <x:c r="D60" s="20" t="inlineStr">
        <x:is>
          <x:t xml:space="preserve">Рычков</x:t>
        </x:is>
      </x:c>
      <x:c r="E60" s="20" t="inlineStr">
        <x:is>
          <x:t xml:space="preserve">Локомотив</x:t>
        </x:is>
      </x:c>
      <x:c r="F60" s="21" t="n">
        <x:v>0</x:v>
      </x:c>
      <x:c r="G60" s="21" t="n">
        <x:v>37</x:v>
      </x:c>
      <x:c r="H60" s="20" t="inlineStr">
        <x:is>
          <x:t xml:space="preserve">04.12-05.12</x:t>
        </x:is>
      </x:c>
      <x:c r="I60" s="25" t="inlineStr">
        <x:is>
          <x:t xml:space="preserve">18.01.2026</x:t>
        </x:is>
      </x:c>
    </x:row>
    <x:row r="61">
      <x:c r="A61" s="20" t="inlineStr">
        <x:is>
          <x:t xml:space="preserve">Александр Свиридов</x:t>
        </x:is>
      </x:c>
      <x:c r="B61" s="20" t="inlineStr">
        <x:is>
          <x:t xml:space="preserve">Нападающий</x:t>
        </x:is>
      </x:c>
      <x:c r="C61" s="20" t="n">
        <x:v>2</x:v>
      </x:c>
      <x:c r="D61" s="20" t="inlineStr">
        <x:is>
          <x:t xml:space="preserve">Мельников</x:t>
        </x:is>
      </x:c>
      <x:c r="E61" s="20" t="inlineStr">
        <x:is>
          <x:t xml:space="preserve">Брест</x:t>
        </x:is>
      </x:c>
      <x:c r="F61" s="21" t="n">
        <x:v>2</x:v>
      </x:c>
      <x:c r="G61" s="21" t="n">
        <x:v>37</x:v>
      </x:c>
      <x:c r="H61" s="20" t="inlineStr">
        <x:is>
          <x:t xml:space="preserve">04.12-05.12</x:t>
        </x:is>
      </x:c>
      <x:c r="I61" s="25" t="inlineStr">
        <x:is>
          <x:t xml:space="preserve">18.01.2026</x:t>
        </x:is>
      </x:c>
    </x:row>
    <x:row r="62">
      <x:c r="A62" s="20" t="inlineStr">
        <x:is>
          <x:t xml:space="preserve">Александр Свиридов</x:t>
        </x:is>
      </x:c>
      <x:c r="B62" s="20" t="inlineStr">
        <x:is>
          <x:t xml:space="preserve">Нападающий</x:t>
        </x:is>
      </x:c>
      <x:c r="C62" s="20" t="n">
        <x:v>3</x:v>
      </x:c>
      <x:c r="D62" s="20" t="inlineStr">
        <x:is>
          <x:t xml:space="preserve">Буйко</x:t>
        </x:is>
      </x:c>
      <x:c r="E62" s="20" t="inlineStr">
        <x:is>
          <x:t xml:space="preserve">Шахтер</x:t>
        </x:is>
      </x:c>
      <x:c r="F62" s="21" t="n">
        <x:v>0</x:v>
      </x:c>
      <x:c r="G62" s="21" t="n">
        <x:v>37</x:v>
      </x:c>
      <x:c r="H62" s="20" t="inlineStr">
        <x:is>
          <x:t xml:space="preserve">04.12-05.12</x:t>
        </x:is>
      </x:c>
      <x:c r="I62" s="25" t="inlineStr">
        <x:is>
          <x:t xml:space="preserve">18.01.2026</x:t>
        </x:is>
      </x:c>
    </x:row>
    <x:row r="63">
      <x:c r="A63" s="20" t="inlineStr">
        <x:is>
          <x:t xml:space="preserve">Надюша</x:t>
        </x:is>
      </x:c>
      <x:c r="B63" s="20" t="inlineStr">
        <x:is>
          <x:t xml:space="preserve">Вратарь</x:t>
        </x:is>
      </x:c>
      <x:c r="C63" s="20" t="n">
        <x:v>1</x:v>
      </x:c>
      <x:c r="D63" s="20" t="inlineStr">
        <x:is>
          <x:t xml:space="preserve">Игорь Тяло</x:t>
        </x:is>
      </x:c>
      <x:c r="E63" s="20" t="inlineStr">
        <x:is>
          <x:t xml:space="preserve">Лида</x:t>
        </x:is>
      </x:c>
      <x:c r="F63" s="21" t="n">
        <x:v>3</x:v>
      </x:c>
      <x:c r="G63" s="21" t="n">
        <x:v>66</x:v>
      </x:c>
      <x:c r="H63" s="20" t="inlineStr">
        <x:is>
          <x:t xml:space="preserve">04.12-05.12</x:t>
        </x:is>
      </x:c>
      <x:c r="I63" s="25" t="inlineStr">
        <x:is>
          <x:t xml:space="preserve">18.01.2026</x:t>
        </x:is>
      </x:c>
    </x:row>
    <x:row r="64">
      <x:c r="A64" s="20" t="inlineStr">
        <x:is>
          <x:t xml:space="preserve">Надюша</x:t>
        </x:is>
      </x:c>
      <x:c r="B64" s="20" t="inlineStr">
        <x:is>
          <x:t xml:space="preserve">Защитник</x:t>
        </x:is>
      </x:c>
      <x:c r="C64" s="20" t="n">
        <x:v>1</x:v>
      </x:c>
      <x:c r="D64" s="20" t="inlineStr">
        <x:is>
          <x:t xml:space="preserve">Лисовец</x:t>
        </x:is>
      </x:c>
      <x:c r="E64" s="20" t="inlineStr">
        <x:is>
          <x:t xml:space="preserve">Неман</x:t>
        </x:is>
      </x:c>
      <x:c r="F64" s="21" t="n">
        <x:v>1</x:v>
      </x:c>
      <x:c r="G64" s="21" t="n">
        <x:v>66</x:v>
      </x:c>
      <x:c r="H64" s="20" t="inlineStr">
        <x:is>
          <x:t xml:space="preserve">04.12-05.12</x:t>
        </x:is>
      </x:c>
      <x:c r="I64" s="25" t="inlineStr">
        <x:is>
          <x:t xml:space="preserve">18.01.2026</x:t>
        </x:is>
      </x:c>
    </x:row>
    <x:row r="65">
      <x:c r="A65" s="20" t="inlineStr">
        <x:is>
          <x:t xml:space="preserve">Надюша</x:t>
        </x:is>
      </x:c>
      <x:c r="B65" s="20" t="inlineStr">
        <x:is>
          <x:t xml:space="preserve">Защитник</x:t>
        </x:is>
      </x:c>
      <x:c r="C65" s="20" t="n">
        <x:v>2</x:v>
      </x:c>
      <x:c r="D65" s="20" t="inlineStr">
        <x:is>
          <x:t xml:space="preserve">Сиротин</x:t>
        </x:is>
      </x:c>
      <x:c r="E65" s="20" t="inlineStr">
        <x:is>
          <x:t xml:space="preserve">Авиатор</x:t>
        </x:is>
      </x:c>
      <x:c r="F65" s="21" t="n">
        <x:v>0</x:v>
      </x:c>
      <x:c r="G65" s="21" t="n">
        <x:v>66</x:v>
      </x:c>
      <x:c r="H65" s="20" t="inlineStr">
        <x:is>
          <x:t xml:space="preserve">04.12-05.12</x:t>
        </x:is>
      </x:c>
      <x:c r="I65" s="25" t="inlineStr">
        <x:is>
          <x:t xml:space="preserve">18.01.2026</x:t>
        </x:is>
      </x:c>
    </x:row>
    <x:row r="66">
      <x:c r="A66" s="20" t="inlineStr">
        <x:is>
          <x:t xml:space="preserve">Надюша</x:t>
        </x:is>
      </x:c>
      <x:c r="B66" s="20" t="inlineStr">
        <x:is>
          <x:t xml:space="preserve">Нападающий</x:t>
        </x:is>
      </x:c>
      <x:c r="C66" s="20" t="n">
        <x:v>1</x:v>
      </x:c>
      <x:c r="D66" s="20" t="inlineStr">
        <x:is>
          <x:t xml:space="preserve">Кунишников</x:t>
        </x:is>
      </x:c>
      <x:c r="E66" s="20" t="inlineStr">
        <x:is>
          <x:t xml:space="preserve">Лида</x:t>
        </x:is>
      </x:c>
      <x:c r="F66" s="21" t="n">
        <x:v>1</x:v>
      </x:c>
      <x:c r="G66" s="21" t="n">
        <x:v>66</x:v>
      </x:c>
      <x:c r="H66" s="20" t="inlineStr">
        <x:is>
          <x:t xml:space="preserve">04.12-05.12</x:t>
        </x:is>
      </x:c>
      <x:c r="I66" s="25" t="inlineStr">
        <x:is>
          <x:t xml:space="preserve">18.01.2026</x:t>
        </x:is>
      </x:c>
    </x:row>
    <x:row r="67">
      <x:c r="A67" s="20" t="inlineStr">
        <x:is>
          <x:t xml:space="preserve">Надюша</x:t>
        </x:is>
      </x:c>
      <x:c r="B67" s="20" t="inlineStr">
        <x:is>
          <x:t xml:space="preserve">Нападающий</x:t>
        </x:is>
      </x:c>
      <x:c r="C67" s="20" t="n">
        <x:v>2</x:v>
      </x:c>
      <x:c r="D67" s="20" t="inlineStr">
        <x:is>
          <x:t xml:space="preserve">Мельников</x:t>
        </x:is>
      </x:c>
      <x:c r="E67" s="20" t="inlineStr">
        <x:is>
          <x:t xml:space="preserve">Брест</x:t>
        </x:is>
      </x:c>
      <x:c r="F67" s="21" t="n">
        <x:v>2</x:v>
      </x:c>
      <x:c r="G67" s="21" t="n">
        <x:v>66</x:v>
      </x:c>
      <x:c r="H67" s="20" t="inlineStr">
        <x:is>
          <x:t xml:space="preserve">04.12-05.12</x:t>
        </x:is>
      </x:c>
      <x:c r="I67" s="25" t="inlineStr">
        <x:is>
          <x:t xml:space="preserve">18.01.2026</x:t>
        </x:is>
      </x:c>
    </x:row>
    <x:row r="68">
      <x:c r="A68" s="20" t="inlineStr">
        <x:is>
          <x:t xml:space="preserve">Надюша</x:t>
        </x:is>
      </x:c>
      <x:c r="B68" s="20" t="inlineStr">
        <x:is>
          <x:t xml:space="preserve">Нападающий</x:t>
        </x:is>
      </x:c>
      <x:c r="C68" s="20" t="n">
        <x:v>3</x:v>
      </x:c>
      <x:c r="D68" s="20" t="inlineStr">
        <x:is>
          <x:t xml:space="preserve">Шевченко</x:t>
        </x:is>
      </x:c>
      <x:c r="E68" s="20" t="inlineStr">
        <x:is>
          <x:t xml:space="preserve">Металлург</x:t>
        </x:is>
      </x:c>
      <x:c r="F68" s="21" t="n">
        <x:v>1</x:v>
      </x:c>
      <x:c r="G68" s="21" t="n">
        <x:v>66</x:v>
      </x:c>
      <x:c r="H68" s="20" t="inlineStr">
        <x:is>
          <x:t xml:space="preserve">04.12-05.12</x:t>
        </x:is>
      </x:c>
      <x:c r="I68" s="25" t="inlineStr">
        <x:is>
          <x:t xml:space="preserve">18.01.2026</x:t>
        </x:is>
      </x:c>
    </x:row>
    <x:row r="69">
      <x:c r="A69" s="20" t="inlineStr">
        <x:is>
          <x:t xml:space="preserve">Катюша</x:t>
        </x:is>
      </x:c>
      <x:c r="B69" s="20" t="inlineStr">
        <x:is>
          <x:t xml:space="preserve">Вратарь</x:t>
        </x:is>
      </x:c>
      <x:c r="C69" s="20" t="n">
        <x:v>1</x:v>
      </x:c>
      <x:c r="D69" s="20" t="inlineStr">
        <x:is>
          <x:t xml:space="preserve">Игорь Тяло</x:t>
        </x:is>
      </x:c>
      <x:c r="E69" s="20" t="inlineStr">
        <x:is>
          <x:t xml:space="preserve">Лида</x:t>
        </x:is>
      </x:c>
      <x:c r="F69" s="21" t="n">
        <x:v>3</x:v>
      </x:c>
      <x:c r="G69" s="21" t="n">
        <x:v>80</x:v>
      </x:c>
      <x:c r="H69" s="20" t="inlineStr">
        <x:is>
          <x:t xml:space="preserve">04.12-05.12</x:t>
        </x:is>
      </x:c>
      <x:c r="I69" s="25" t="inlineStr">
        <x:is>
          <x:t xml:space="preserve">18.01.2026</x:t>
        </x:is>
      </x:c>
    </x:row>
    <x:row r="70">
      <x:c r="A70" s="20" t="inlineStr">
        <x:is>
          <x:t xml:space="preserve">Катюша</x:t>
        </x:is>
      </x:c>
      <x:c r="B70" s="20" t="inlineStr">
        <x:is>
          <x:t xml:space="preserve">Защитник</x:t>
        </x:is>
      </x:c>
      <x:c r="C70" s="20" t="n">
        <x:v>1</x:v>
      </x:c>
      <x:c r="D70" s="20" t="inlineStr">
        <x:is>
          <x:t xml:space="preserve">Сурков</x:t>
        </x:is>
      </x:c>
      <x:c r="E70" s="20" t="inlineStr">
        <x:is>
          <x:t xml:space="preserve">Молодечно</x:t>
        </x:is>
      </x:c>
      <x:c r="F70" s="21" t="n">
        <x:v>1</x:v>
      </x:c>
      <x:c r="G70" s="21" t="n">
        <x:v>80</x:v>
      </x:c>
      <x:c r="H70" s="20" t="inlineStr">
        <x:is>
          <x:t xml:space="preserve">04.12-05.12</x:t>
        </x:is>
      </x:c>
      <x:c r="I70" s="25" t="inlineStr">
        <x:is>
          <x:t xml:space="preserve">18.01.2026</x:t>
        </x:is>
      </x:c>
    </x:row>
    <x:row r="71">
      <x:c r="A71" s="20" t="inlineStr">
        <x:is>
          <x:t xml:space="preserve">Катюша</x:t>
        </x:is>
      </x:c>
      <x:c r="B71" s="20" t="inlineStr">
        <x:is>
          <x:t xml:space="preserve">Защитник</x:t>
        </x:is>
      </x:c>
      <x:c r="C71" s="20" t="n">
        <x:v>2</x:v>
      </x:c>
      <x:c r="D71" s="20" t="inlineStr">
        <x:is>
          <x:t xml:space="preserve">Озеров</x:t>
        </x:is>
      </x:c>
      <x:c r="E71" s="20" t="inlineStr">
        <x:is>
          <x:t xml:space="preserve">Славутич</x:t>
        </x:is>
      </x:c>
      <x:c r="F71" s="21" t="n">
        <x:v>1</x:v>
      </x:c>
      <x:c r="G71" s="21" t="n">
        <x:v>80</x:v>
      </x:c>
      <x:c r="H71" s="20" t="inlineStr">
        <x:is>
          <x:t xml:space="preserve">04.12-05.12</x:t>
        </x:is>
      </x:c>
      <x:c r="I71" s="25" t="inlineStr">
        <x:is>
          <x:t xml:space="preserve">18.01.2026</x:t>
        </x:is>
      </x:c>
    </x:row>
    <x:row r="72">
      <x:c r="A72" s="20" t="inlineStr">
        <x:is>
          <x:t xml:space="preserve">Катюша</x:t>
        </x:is>
      </x:c>
      <x:c r="B72" s="20" t="inlineStr">
        <x:is>
          <x:t xml:space="preserve">Нападающий</x:t>
        </x:is>
      </x:c>
      <x:c r="C72" s="20" t="n">
        <x:v>1</x:v>
      </x:c>
      <x:c r="D72" s="20" t="inlineStr">
        <x:is>
          <x:t xml:space="preserve">Кунишников</x:t>
        </x:is>
      </x:c>
      <x:c r="E72" s="20" t="inlineStr">
        <x:is>
          <x:t xml:space="preserve">Лида</x:t>
        </x:is>
      </x:c>
      <x:c r="F72" s="21" t="n">
        <x:v>1</x:v>
      </x:c>
      <x:c r="G72" s="21" t="n">
        <x:v>80</x:v>
      </x:c>
      <x:c r="H72" s="20" t="inlineStr">
        <x:is>
          <x:t xml:space="preserve">04.12-05.12</x:t>
        </x:is>
      </x:c>
      <x:c r="I72" s="25" t="inlineStr">
        <x:is>
          <x:t xml:space="preserve">18.01.2026</x:t>
        </x:is>
      </x:c>
    </x:row>
    <x:row r="73">
      <x:c r="A73" s="20" t="inlineStr">
        <x:is>
          <x:t xml:space="preserve">Катюша</x:t>
        </x:is>
      </x:c>
      <x:c r="B73" s="20" t="inlineStr">
        <x:is>
          <x:t xml:space="preserve">Нападающий</x:t>
        </x:is>
      </x:c>
      <x:c r="C73" s="20" t="n">
        <x:v>2</x:v>
      </x:c>
      <x:c r="D73" s="20" t="inlineStr">
        <x:is>
          <x:t xml:space="preserve">Кучкин</x:t>
        </x:is>
      </x:c>
      <x:c r="E73" s="20" t="inlineStr">
        <x:is>
          <x:t xml:space="preserve">Юность</x:t>
        </x:is>
      </x:c>
      <x:c r="F73" s="21" t="n">
        <x:v>5</x:v>
      </x:c>
      <x:c r="G73" s="21" t="n">
        <x:v>80</x:v>
      </x:c>
      <x:c r="H73" s="20" t="inlineStr">
        <x:is>
          <x:t xml:space="preserve">04.12-05.12</x:t>
        </x:is>
      </x:c>
      <x:c r="I73" s="25" t="inlineStr">
        <x:is>
          <x:t xml:space="preserve">18.01.2026</x:t>
        </x:is>
      </x:c>
    </x:row>
    <x:row r="74">
      <x:c r="A74" s="20" t="inlineStr">
        <x:is>
          <x:t xml:space="preserve">Катюша</x:t>
        </x:is>
      </x:c>
      <x:c r="B74" s="20" t="inlineStr">
        <x:is>
          <x:t xml:space="preserve">Нападающий</x:t>
        </x:is>
      </x:c>
      <x:c r="C74" s="20" t="n">
        <x:v>3</x:v>
      </x:c>
      <x:c r="D74" s="20" t="inlineStr">
        <x:is>
          <x:t xml:space="preserve">А.Гимбатов</x:t>
        </x:is>
      </x:c>
      <x:c r="E74" s="20" t="inlineStr">
        <x:is>
          <x:t xml:space="preserve">Витебск</x:t>
        </x:is>
      </x:c>
      <x:c r="F74" s="21" t="n">
        <x:v>2</x:v>
      </x:c>
      <x:c r="G74" s="21" t="n">
        <x:v>80</x:v>
      </x:c>
      <x:c r="H74" s="20" t="inlineStr">
        <x:is>
          <x:t xml:space="preserve">04.12-05.12</x:t>
        </x:is>
      </x:c>
      <x:c r="I74" s="25" t="inlineStr">
        <x:is>
          <x:t xml:space="preserve">18.01.2026</x:t>
        </x:is>
      </x:c>
    </x:row>
    <x:row r="75">
      <x:c r="A75" s="20" t="inlineStr">
        <x:is>
          <x:t xml:space="preserve">Жека</x:t>
        </x:is>
      </x:c>
      <x:c r="B75" s="20" t="inlineStr">
        <x:is>
          <x:t xml:space="preserve">Вратарь</x:t>
        </x:is>
      </x:c>
      <x:c r="C75" s="20" t="n">
        <x:v>1</x:v>
      </x:c>
      <x:c r="D75" s="20" t="inlineStr">
        <x:is>
          <x:t xml:space="preserve">Кузмаул</x:t>
        </x:is>
      </x:c>
      <x:c r="E75" s="20" t="inlineStr">
        <x:is>
          <x:t xml:space="preserve">Гомель</x:t>
        </x:is>
      </x:c>
      <x:c r="F75" s="21" t="n">
        <x:v>0</x:v>
      </x:c>
      <x:c r="G75" s="21" t="n">
        <x:v>87</x:v>
      </x:c>
      <x:c r="H75" s="20" t="inlineStr">
        <x:is>
          <x:t xml:space="preserve">04.12-05.12</x:t>
        </x:is>
      </x:c>
      <x:c r="I75" s="25" t="inlineStr">
        <x:is>
          <x:t xml:space="preserve">18.01.2026</x:t>
        </x:is>
      </x:c>
    </x:row>
    <x:row r="76">
      <x:c r="A76" s="20" t="inlineStr">
        <x:is>
          <x:t xml:space="preserve">Жека</x:t>
        </x:is>
      </x:c>
      <x:c r="B76" s="20" t="inlineStr">
        <x:is>
          <x:t xml:space="preserve">Защитник</x:t>
        </x:is>
      </x:c>
      <x:c r="C76" s="20" t="n">
        <x:v>1</x:v>
      </x:c>
      <x:c r="D76" s="20" t="inlineStr">
        <x:is>
          <x:t xml:space="preserve">Волченков</x:t>
        </x:is>
      </x:c>
      <x:c r="E76" s="20" t="inlineStr">
        <x:is>
          <x:t xml:space="preserve">Металлург</x:t>
        </x:is>
      </x:c>
      <x:c r="F76" s="21" t="n">
        <x:v>0</x:v>
      </x:c>
      <x:c r="G76" s="21" t="n">
        <x:v>87</x:v>
      </x:c>
      <x:c r="H76" s="20" t="inlineStr">
        <x:is>
          <x:t xml:space="preserve">04.12-05.12</x:t>
        </x:is>
      </x:c>
      <x:c r="I76" s="25" t="inlineStr">
        <x:is>
          <x:t xml:space="preserve">18.01.2026</x:t>
        </x:is>
      </x:c>
    </x:row>
    <x:row r="77">
      <x:c r="A77" s="20" t="inlineStr">
        <x:is>
          <x:t xml:space="preserve">Жека</x:t>
        </x:is>
      </x:c>
      <x:c r="B77" s="20" t="inlineStr">
        <x:is>
          <x:t xml:space="preserve">Защитник</x:t>
        </x:is>
      </x:c>
      <x:c r="C77" s="20" t="n">
        <x:v>2</x:v>
      </x:c>
      <x:c r="D77" s="20" t="inlineStr">
        <x:is>
          <x:t xml:space="preserve">Сурков</x:t>
        </x:is>
      </x:c>
      <x:c r="E77" s="20" t="inlineStr">
        <x:is>
          <x:t xml:space="preserve">Молодечно</x:t>
        </x:is>
      </x:c>
      <x:c r="F77" s="21" t="n">
        <x:v>1</x:v>
      </x:c>
      <x:c r="G77" s="21" t="n">
        <x:v>87</x:v>
      </x:c>
      <x:c r="H77" s="20" t="inlineStr">
        <x:is>
          <x:t xml:space="preserve">04.12-05.12</x:t>
        </x:is>
      </x:c>
      <x:c r="I77" s="25" t="inlineStr">
        <x:is>
          <x:t xml:space="preserve">18.01.2026</x:t>
        </x:is>
      </x:c>
    </x:row>
    <x:row r="78">
      <x:c r="A78" s="20" t="inlineStr">
        <x:is>
          <x:t xml:space="preserve">Жека</x:t>
        </x:is>
      </x:c>
      <x:c r="B78" s="20" t="inlineStr">
        <x:is>
          <x:t xml:space="preserve">Нападающий</x:t>
        </x:is>
      </x:c>
      <x:c r="C78" s="20" t="n">
        <x:v>1</x:v>
      </x:c>
      <x:c r="D78" s="20" t="inlineStr">
        <x:is>
          <x:t xml:space="preserve">Качеловский</x:t>
        </x:is>
      </x:c>
      <x:c r="E78" s="20" t="inlineStr">
        <x:is>
          <x:t xml:space="preserve">Гомель</x:t>
        </x:is>
      </x:c>
      <x:c r="F78" s="21" t="n">
        <x:v>1</x:v>
      </x:c>
      <x:c r="G78" s="21" t="n">
        <x:v>87</x:v>
      </x:c>
      <x:c r="H78" s="20" t="inlineStr">
        <x:is>
          <x:t xml:space="preserve">04.12-05.12</x:t>
        </x:is>
      </x:c>
      <x:c r="I78" s="25" t="inlineStr">
        <x:is>
          <x:t xml:space="preserve">18.01.2026</x:t>
        </x:is>
      </x:c>
    </x:row>
    <x:row r="79">
      <x:c r="A79" s="20" t="inlineStr">
        <x:is>
          <x:t xml:space="preserve">Жека</x:t>
        </x:is>
      </x:c>
      <x:c r="B79" s="20" t="inlineStr">
        <x:is>
          <x:t xml:space="preserve">Нападающий</x:t>
        </x:is>
      </x:c>
      <x:c r="C79" s="20" t="n">
        <x:v>2</x:v>
      </x:c>
      <x:c r="D79" s="20" t="inlineStr">
        <x:is>
          <x:t xml:space="preserve">Жидких</x:t>
        </x:is>
      </x:c>
      <x:c r="E79" s="20" t="inlineStr">
        <x:is>
          <x:t xml:space="preserve">Химик</x:t>
        </x:is>
      </x:c>
      <x:c r="F79" s="21" t="n">
        <x:v>0</x:v>
      </x:c>
      <x:c r="G79" s="21" t="n">
        <x:v>87</x:v>
      </x:c>
      <x:c r="H79" s="20" t="inlineStr">
        <x:is>
          <x:t xml:space="preserve">04.12-05.12</x:t>
        </x:is>
      </x:c>
      <x:c r="I79" s="25" t="inlineStr">
        <x:is>
          <x:t xml:space="preserve">18.01.2026</x:t>
        </x:is>
      </x:c>
    </x:row>
    <x:row r="80">
      <x:c r="A80" s="20" t="inlineStr">
        <x:is>
          <x:t xml:space="preserve">Жека</x:t>
        </x:is>
      </x:c>
      <x:c r="B80" s="20" t="inlineStr">
        <x:is>
          <x:t xml:space="preserve">Нападающий</x:t>
        </x:is>
      </x:c>
      <x:c r="C80" s="20" t="n">
        <x:v>3</x:v>
      </x:c>
      <x:c r="D80" s="20" t="inlineStr">
        <x:is>
          <x:t xml:space="preserve">Никитич</x:t>
        </x:is>
      </x:c>
      <x:c r="E80" s="20" t="inlineStr">
        <x:is>
          <x:t xml:space="preserve">Брест</x:t>
        </x:is>
      </x:c>
      <x:c r="F80" s="21" t="n">
        <x:v>2</x:v>
      </x:c>
      <x:c r="G80" s="21" t="n">
        <x:v>87</x:v>
      </x:c>
      <x:c r="H80" s="20" t="inlineStr">
        <x:is>
          <x:t xml:space="preserve">04.12-05.12</x:t>
        </x:is>
      </x:c>
      <x:c r="I80" s="25" t="inlineStr">
        <x:is>
          <x:t xml:space="preserve">18.01.2026</x:t>
        </x:is>
      </x:c>
    </x:row>
    <x:row r="81">
      <x:c r="A81" s="20" t="inlineStr">
        <x:is>
          <x:t xml:space="preserve">Алексей</x:t>
        </x:is>
      </x:c>
      <x:c r="B81" s="20" t="inlineStr">
        <x:is>
          <x:t xml:space="preserve">Вратарь</x:t>
        </x:is>
      </x:c>
      <x:c r="C81" s="20" t="n">
        <x:v>1</x:v>
      </x:c>
      <x:c r="D81" s="20" t="inlineStr">
        <x:is>
          <x:t xml:space="preserve">Игорь Тяло</x:t>
        </x:is>
      </x:c>
      <x:c r="E81" s="20" t="inlineStr">
        <x:is>
          <x:t xml:space="preserve">Лида</x:t>
        </x:is>
      </x:c>
      <x:c r="F81" s="21" t="n">
        <x:v>3</x:v>
      </x:c>
      <x:c r="G81" s="21" t="n">
        <x:v>86</x:v>
      </x:c>
      <x:c r="H81" s="20" t="inlineStr">
        <x:is>
          <x:t xml:space="preserve">04.12-05.12</x:t>
        </x:is>
      </x:c>
      <x:c r="I81" s="25" t="inlineStr">
        <x:is>
          <x:t xml:space="preserve">18.01.2026</x:t>
        </x:is>
      </x:c>
    </x:row>
    <x:row r="82">
      <x:c r="A82" s="20" t="inlineStr">
        <x:is>
          <x:t xml:space="preserve">Алексей</x:t>
        </x:is>
      </x:c>
      <x:c r="B82" s="20" t="inlineStr">
        <x:is>
          <x:t xml:space="preserve">Защитник</x:t>
        </x:is>
      </x:c>
      <x:c r="C82" s="20" t="n">
        <x:v>1</x:v>
      </x:c>
      <x:c r="D82" s="20" t="inlineStr">
        <x:is>
          <x:t xml:space="preserve">Мисюль</x:t>
        </x:is>
      </x:c>
      <x:c r="E82" s="20" t="inlineStr">
        <x:is>
          <x:t xml:space="preserve">Брест</x:t>
        </x:is>
      </x:c>
      <x:c r="F82" s="21" t="n">
        <x:v>1</x:v>
      </x:c>
      <x:c r="G82" s="21" t="n">
        <x:v>86</x:v>
      </x:c>
      <x:c r="H82" s="20" t="inlineStr">
        <x:is>
          <x:t xml:space="preserve">04.12-05.12</x:t>
        </x:is>
      </x:c>
      <x:c r="I82" s="25" t="inlineStr">
        <x:is>
          <x:t xml:space="preserve">18.01.2026</x:t>
        </x:is>
      </x:c>
    </x:row>
    <x:row r="83">
      <x:c r="A83" s="20" t="inlineStr">
        <x:is>
          <x:t xml:space="preserve">Алексей</x:t>
        </x:is>
      </x:c>
      <x:c r="B83" s="20" t="inlineStr">
        <x:is>
          <x:t xml:space="preserve">Защитник</x:t>
        </x:is>
      </x:c>
      <x:c r="C83" s="20" t="n">
        <x:v>2</x:v>
      </x:c>
      <x:c r="D83" s="20" t="inlineStr">
        <x:is>
          <x:t xml:space="preserve">Сафин-Трегубов</x:t>
        </x:is>
      </x:c>
      <x:c r="E83" s="20" t="inlineStr">
        <x:is>
          <x:t xml:space="preserve">Витебск</x:t>
        </x:is>
      </x:c>
      <x:c r="F83" s="21" t="n">
        <x:v>0</x:v>
      </x:c>
      <x:c r="G83" s="21" t="n">
        <x:v>86</x:v>
      </x:c>
      <x:c r="H83" s="20" t="inlineStr">
        <x:is>
          <x:t xml:space="preserve">04.12-05.12</x:t>
        </x:is>
      </x:c>
      <x:c r="I83" s="25" t="inlineStr">
        <x:is>
          <x:t xml:space="preserve">18.01.2026</x:t>
        </x:is>
      </x:c>
    </x:row>
    <x:row r="84">
      <x:c r="A84" s="20" t="inlineStr">
        <x:is>
          <x:t xml:space="preserve">Алексей</x:t>
        </x:is>
      </x:c>
      <x:c r="B84" s="20" t="inlineStr">
        <x:is>
          <x:t xml:space="preserve">Нападающий</x:t>
        </x:is>
      </x:c>
      <x:c r="C84" s="20" t="n">
        <x:v>1</x:v>
      </x:c>
      <x:c r="D84" s="20" t="inlineStr">
        <x:is>
          <x:t xml:space="preserve">Кунишников</x:t>
        </x:is>
      </x:c>
      <x:c r="E84" s="20" t="inlineStr">
        <x:is>
          <x:t xml:space="preserve">Лида</x:t>
        </x:is>
      </x:c>
      <x:c r="F84" s="21" t="n">
        <x:v>1</x:v>
      </x:c>
      <x:c r="G84" s="21" t="n">
        <x:v>86</x:v>
      </x:c>
      <x:c r="H84" s="20" t="inlineStr">
        <x:is>
          <x:t xml:space="preserve">04.12-05.12</x:t>
        </x:is>
      </x:c>
      <x:c r="I84" s="25" t="inlineStr">
        <x:is>
          <x:t xml:space="preserve">18.01.2026</x:t>
        </x:is>
      </x:c>
    </x:row>
    <x:row r="85">
      <x:c r="A85" s="20" t="inlineStr">
        <x:is>
          <x:t xml:space="preserve">Алексей</x:t>
        </x:is>
      </x:c>
      <x:c r="B85" s="20" t="inlineStr">
        <x:is>
          <x:t xml:space="preserve">Нападающий</x:t>
        </x:is>
      </x:c>
      <x:c r="C85" s="20" t="n">
        <x:v>2</x:v>
      </x:c>
      <x:c r="D85" s="20" t="inlineStr">
        <x:is>
          <x:t xml:space="preserve">Субхи</x:t>
        </x:is>
      </x:c>
      <x:c r="E85" s="20" t="inlineStr">
        <x:is>
          <x:t xml:space="preserve">Гомель</x:t>
        </x:is>
      </x:c>
      <x:c r="F85" s="21" t="n">
        <x:v>1</x:v>
      </x:c>
      <x:c r="G85" s="21" t="n">
        <x:v>86</x:v>
      </x:c>
      <x:c r="H85" s="20" t="inlineStr">
        <x:is>
          <x:t xml:space="preserve">04.12-05.12</x:t>
        </x:is>
      </x:c>
      <x:c r="I85" s="25" t="inlineStr">
        <x:is>
          <x:t xml:space="preserve">18.01.2026</x:t>
        </x:is>
      </x:c>
    </x:row>
    <x:row r="86">
      <x:c r="A86" s="20" t="inlineStr">
        <x:is>
          <x:t xml:space="preserve">Алексей</x:t>
        </x:is>
      </x:c>
      <x:c r="B86" s="20" t="inlineStr">
        <x:is>
          <x:t xml:space="preserve">Нападающий</x:t>
        </x:is>
      </x:c>
      <x:c r="C86" s="20" t="n">
        <x:v>3</x:v>
      </x:c>
      <x:c r="D86" s="20" t="inlineStr">
        <x:is>
          <x:t xml:space="preserve">Кучкин</x:t>
        </x:is>
      </x:c>
      <x:c r="E86" s="20" t="inlineStr">
        <x:is>
          <x:t xml:space="preserve">Юность</x:t>
        </x:is>
      </x:c>
      <x:c r="F86" s="21" t="n">
        <x:v>5</x:v>
      </x:c>
      <x:c r="G86" s="21" t="n">
        <x:v>86</x:v>
      </x:c>
      <x:c r="H86" s="20" t="inlineStr">
        <x:is>
          <x:t xml:space="preserve">04.12-05.12</x:t>
        </x:is>
      </x:c>
      <x:c r="I86" s="25" t="inlineStr">
        <x:is>
          <x:t xml:space="preserve">18.01.2026</x:t>
        </x:is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9d4de26c5da64d1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9" customWidth="1"/>
    <x:col min="3" max="3" width="12" customWidth="1"/>
    <x:col min="4" max="4" width="6" customWidth="1"/>
    <x:col min="5" max="5" width="13" customWidth="1"/>
    <x:col min="6" max="6" width="11" customWidth="1"/>
    <x:col min="7" max="7" width="23" customWidth="1"/>
    <x:col min="8" max="8" width="17" customWidth="1"/>
    <x:col min="9" max="9" width="13" customWidth="1"/>
    <x:col min="10" max="10" width="12" customWidth="1"/>
  </x:cols>
  <x:sheetData>
    <x:row r="1" ht="24" customHeight="1">
      <x:c r="A1" s="1" t="inlineStr">
        <x:is>
          <x:t xml:space="preserve">Составы участников — плей-ин / плей-офф</x:t>
        </x:is>
      </x:c>
    </x:row>
    <x:row r="2">
      <x:c r="A2" s="7" t="inlineStr">
        <x:is>
          <x:t xml:space="preserve">Участник</x:t>
        </x:is>
      </x:c>
      <x:c r="B2" s="7" t="inlineStr">
        <x:is>
          <x:t xml:space="preserve">Команда участника</x:t>
        </x:is>
      </x:c>
      <x:c r="C2" s="7" t="inlineStr">
        <x:is>
          <x:t xml:space="preserve">Позиция</x:t>
        </x:is>
      </x:c>
      <x:c r="D2" s="7" t="inlineStr">
        <x:is>
          <x:t xml:space="preserve">Слот</x:t>
        </x:is>
      </x:c>
      <x:c r="E2" s="7" t="inlineStr">
        <x:is>
          <x:t xml:space="preserve">Игрок</x:t>
        </x:is>
      </x:c>
      <x:c r="F2" s="7" t="inlineStr">
        <x:is>
          <x:t xml:space="preserve">Клуб</x:t>
        </x:is>
      </x:c>
      <x:c r="G2" s="7" t="inlineStr">
        <x:is>
          <x:t xml:space="preserve">Очки за последний тур</x:t>
        </x:is>
      </x:c>
      <x:c r="H2" s="7" t="inlineStr">
        <x:is>
          <x:t xml:space="preserve">Итого участника</x:t>
        </x:is>
      </x:c>
      <x:c r="I2" s="7" t="inlineStr">
        <x:is>
          <x:t xml:space="preserve">Раунд</x:t>
        </x:is>
      </x:c>
      <x:c r="J2" s="7" t="inlineStr">
        <x:is>
          <x:t xml:space="preserve">Срез по</x:t>
        </x:is>
      </x:c>
    </x:row>
    <x:row r="3">
      <x:c r="A3" s="20" t="inlineStr">
        <x:is>
          <x:t xml:space="preserve">Женя Космос</x:t>
        </x:is>
      </x:c>
      <x:c r="B3" s="20" t="inlineStr">
        <x:is>
          <x:t xml:space="preserve">Витебск</x:t>
        </x:is>
      </x:c>
      <x:c r="C3" s="20" t="inlineStr">
        <x:is>
          <x:t xml:space="preserve">Вратарь</x:t>
        </x:is>
      </x:c>
      <x:c r="D3" s="20" t="n">
        <x:v>1</x:v>
      </x:c>
      <x:c r="E3" s="20" t="inlineStr">
        <x:is>
          <x:t xml:space="preserve">Синягин</x:t>
        </x:is>
      </x:c>
      <x:c r="F3" s="20" t="inlineStr">
        <x:is>
          <x:t xml:space="preserve">Славутич</x:t>
        </x:is>
      </x:c>
      <x:c r="G3" s="21" t="n">
        <x:v>2</x:v>
      </x:c>
      <x:c r="H3" s="21" t="n">
        <x:v>44</x:v>
      </x:c>
      <x:c r="I3" s="20" t="inlineStr">
        <x:is>
          <x:t xml:space="preserve">04.12-05.12</x:t>
        </x:is>
      </x:c>
      <x:c r="J3" s="25" t="inlineStr">
        <x:is>
          <x:t xml:space="preserve">16.04.2026</x:t>
        </x:is>
      </x:c>
    </x:row>
    <x:row r="4">
      <x:c r="A4" s="20" t="inlineStr">
        <x:is>
          <x:t xml:space="preserve">Женя Космос</x:t>
        </x:is>
      </x:c>
      <x:c r="B4" s="20" t="inlineStr">
        <x:is>
          <x:t xml:space="preserve">Витебск</x:t>
        </x:is>
      </x:c>
      <x:c r="C4" s="20" t="inlineStr">
        <x:is>
          <x:t xml:space="preserve">Защитник</x:t>
        </x:is>
      </x:c>
      <x:c r="D4" s="20" t="n">
        <x:v>1</x:v>
      </x:c>
      <x:c r="E4" s="20" t="inlineStr">
        <x:is>
          <x:t xml:space="preserve">Волчкенков</x:t>
        </x:is>
      </x:c>
      <x:c r="F4" s="20" t="inlineStr">
        <x:is>
          <x:t xml:space="preserve">Металлург</x:t>
        </x:is>
      </x:c>
      <x:c r="G4" s="21" t="n">
        <x:v>0</x:v>
      </x:c>
      <x:c r="H4" s="21" t="n">
        <x:v>44</x:v>
      </x:c>
      <x:c r="I4" s="20" t="inlineStr">
        <x:is>
          <x:t xml:space="preserve">04.12-05.12</x:t>
        </x:is>
      </x:c>
      <x:c r="J4" s="25" t="inlineStr">
        <x:is>
          <x:t xml:space="preserve">16.04.2026</x:t>
        </x:is>
      </x:c>
    </x:row>
    <x:row r="5">
      <x:c r="A5" s="20" t="inlineStr">
        <x:is>
          <x:t xml:space="preserve">Женя Космос</x:t>
        </x:is>
      </x:c>
      <x:c r="B5" s="20" t="inlineStr">
        <x:is>
          <x:t xml:space="preserve">Витебск</x:t>
        </x:is>
      </x:c>
      <x:c r="C5" s="20" t="inlineStr">
        <x:is>
          <x:t xml:space="preserve">Защитник</x:t>
        </x:is>
      </x:c>
      <x:c r="D5" s="20" t="n">
        <x:v>2</x:v>
      </x:c>
      <x:c r="E5" s="20" t="inlineStr">
        <x:is>
          <x:t xml:space="preserve">Озеров</x:t>
        </x:is>
      </x:c>
      <x:c r="F5" s="20" t="inlineStr">
        <x:is>
          <x:t xml:space="preserve">Славутич</x:t>
        </x:is>
      </x:c>
      <x:c r="G5" s="21" t="n">
        <x:v>0</x:v>
      </x:c>
      <x:c r="H5" s="21" t="n">
        <x:v>44</x:v>
      </x:c>
      <x:c r="I5" s="20" t="inlineStr">
        <x:is>
          <x:t xml:space="preserve">04.12-05.12</x:t>
        </x:is>
      </x:c>
      <x:c r="J5" s="25" t="inlineStr">
        <x:is>
          <x:t xml:space="preserve">16.04.2026</x:t>
        </x:is>
      </x:c>
    </x:row>
    <x:row r="6">
      <x:c r="A6" s="20" t="inlineStr">
        <x:is>
          <x:t xml:space="preserve">Женя Космос</x:t>
        </x:is>
      </x:c>
      <x:c r="B6" s="20" t="inlineStr">
        <x:is>
          <x:t xml:space="preserve">Витебск</x:t>
        </x:is>
      </x:c>
      <x:c r="C6" s="20" t="inlineStr">
        <x:is>
          <x:t xml:space="preserve">Нападающий</x:t>
        </x:is>
      </x:c>
      <x:c r="D6" s="20" t="n">
        <x:v>1</x:v>
      </x:c>
      <x:c r="E6" s="20" t="inlineStr">
        <x:is>
          <x:t xml:space="preserve">Тимирев</x:t>
        </x:is>
      </x:c>
      <x:c r="F6" s="20" t="inlineStr">
        <x:is>
          <x:t xml:space="preserve">Металлург</x:t>
        </x:is>
      </x:c>
      <x:c r="G6" s="21" t="n">
        <x:v>0</x:v>
      </x:c>
      <x:c r="H6" s="21" t="n">
        <x:v>44</x:v>
      </x:c>
      <x:c r="I6" s="20" t="inlineStr">
        <x:is>
          <x:t xml:space="preserve">04.12-05.12</x:t>
        </x:is>
      </x:c>
      <x:c r="J6" s="25" t="inlineStr">
        <x:is>
          <x:t xml:space="preserve">16.04.2026</x:t>
        </x:is>
      </x:c>
    </x:row>
    <x:row r="7">
      <x:c r="A7" s="20" t="inlineStr">
        <x:is>
          <x:t xml:space="preserve">Женя Космос</x:t>
        </x:is>
      </x:c>
      <x:c r="B7" s="20" t="inlineStr">
        <x:is>
          <x:t xml:space="preserve">Витебск</x:t>
        </x:is>
      </x:c>
      <x:c r="C7" s="20" t="inlineStr">
        <x:is>
          <x:t xml:space="preserve">Нападающий</x:t>
        </x:is>
      </x:c>
      <x:c r="D7" s="20" t="n">
        <x:v>2</x:v>
      </x:c>
      <x:c r="E7" s="20" t="inlineStr">
        <x:is>
          <x:t xml:space="preserve">Еркин</x:t>
        </x:is>
      </x:c>
      <x:c r="F7" s="20" t="inlineStr">
        <x:is>
          <x:t xml:space="preserve">Славутич</x:t>
        </x:is>
      </x:c>
      <x:c r="G7" s="21" t="n">
        <x:v>1</x:v>
      </x:c>
      <x:c r="H7" s="21" t="n">
        <x:v>44</x:v>
      </x:c>
      <x:c r="I7" s="20" t="inlineStr">
        <x:is>
          <x:t xml:space="preserve">04.12-05.12</x:t>
        </x:is>
      </x:c>
      <x:c r="J7" s="25" t="inlineStr">
        <x:is>
          <x:t xml:space="preserve">16.04.2026</x:t>
        </x:is>
      </x:c>
    </x:row>
    <x:row r="8">
      <x:c r="A8" s="20" t="inlineStr">
        <x:is>
          <x:t xml:space="preserve">Женя Космос</x:t>
        </x:is>
      </x:c>
      <x:c r="B8" s="20" t="inlineStr">
        <x:is>
          <x:t xml:space="preserve">Витебск</x:t>
        </x:is>
      </x:c>
      <x:c r="C8" s="20" t="inlineStr">
        <x:is>
          <x:t xml:space="preserve">Нападающий</x:t>
        </x:is>
      </x:c>
      <x:c r="D8" s="20" t="n">
        <x:v>3</x:v>
      </x:c>
      <x:c r="E8" s="20" t="inlineStr">
        <x:is>
          <x:t xml:space="preserve">Шевченко</x:t>
        </x:is>
      </x:c>
      <x:c r="F8" s="20" t="inlineStr">
        <x:is>
          <x:t xml:space="preserve">Металлург</x:t>
        </x:is>
      </x:c>
      <x:c r="G8" s="21" t="n">
        <x:v>1</x:v>
      </x:c>
      <x:c r="H8" s="21" t="n">
        <x:v>44</x:v>
      </x:c>
      <x:c r="I8" s="20" t="inlineStr">
        <x:is>
          <x:t xml:space="preserve">04.12-05.12</x:t>
        </x:is>
      </x:c>
      <x:c r="J8" s="25" t="inlineStr">
        <x:is>
          <x:t xml:space="preserve">16.04.2026</x:t>
        </x:is>
      </x:c>
    </x:row>
    <x:row r="9">
      <x:c r="A9" s="20" t="inlineStr">
        <x:is>
          <x:t xml:space="preserve">Александр</x:t>
        </x:is>
      </x:c>
      <x:c r="B9" s="20" t="inlineStr">
        <x:is>
          <x:t xml:space="preserve">Металлург</x:t>
        </x:is>
      </x:c>
      <x:c r="C9" s="20" t="inlineStr">
        <x:is>
          <x:t xml:space="preserve">Вратарь</x:t>
        </x:is>
      </x:c>
      <x:c r="D9" s="20" t="n">
        <x:v>1</x:v>
      </x:c>
      <x:c r="E9" s="20" t="inlineStr">
        <x:is>
          <x:t xml:space="preserve">Большаков</x:t>
        </x:is>
      </x:c>
      <x:c r="F9" s="20" t="inlineStr">
        <x:is>
          <x:t xml:space="preserve">Металлург</x:t>
        </x:is>
      </x:c>
      <x:c r="G9" s="21" t="n">
        <x:v>0</x:v>
      </x:c>
      <x:c r="H9" s="21" t="n">
        <x:v>55</x:v>
      </x:c>
      <x:c r="I9" s="20" t="inlineStr">
        <x:is>
          <x:t xml:space="preserve">04.12-05.12</x:t>
        </x:is>
      </x:c>
      <x:c r="J9" s="25" t="inlineStr">
        <x:is>
          <x:t xml:space="preserve">16.04.2026</x:t>
        </x:is>
      </x:c>
    </x:row>
    <x:row r="10">
      <x:c r="A10" s="20" t="inlineStr">
        <x:is>
          <x:t xml:space="preserve">Александр</x:t>
        </x:is>
      </x:c>
      <x:c r="B10" s="20" t="inlineStr">
        <x:is>
          <x:t xml:space="preserve">Металлург</x:t>
        </x:is>
      </x:c>
      <x:c r="C10" s="20" t="inlineStr">
        <x:is>
          <x:t xml:space="preserve">Защитник</x:t>
        </x:is>
      </x:c>
      <x:c r="D10" s="20" t="n">
        <x:v>1</x:v>
      </x:c>
      <x:c r="E10" s="20" t="inlineStr">
        <x:is>
          <x:t xml:space="preserve">Волчкенков</x:t>
        </x:is>
      </x:c>
      <x:c r="F10" s="20" t="inlineStr">
        <x:is>
          <x:t xml:space="preserve">Металлург</x:t>
        </x:is>
      </x:c>
      <x:c r="G10" s="21" t="n">
        <x:v>0</x:v>
      </x:c>
      <x:c r="H10" s="21" t="n">
        <x:v>55</x:v>
      </x:c>
      <x:c r="I10" s="20" t="inlineStr">
        <x:is>
          <x:t xml:space="preserve">04.12-05.12</x:t>
        </x:is>
      </x:c>
      <x:c r="J10" s="25" t="inlineStr">
        <x:is>
          <x:t xml:space="preserve">16.04.2026</x:t>
        </x:is>
      </x:c>
    </x:row>
    <x:row r="11">
      <x:c r="A11" s="20" t="inlineStr">
        <x:is>
          <x:t xml:space="preserve">Александр</x:t>
        </x:is>
      </x:c>
      <x:c r="B11" s="20" t="inlineStr">
        <x:is>
          <x:t xml:space="preserve">Металлург</x:t>
        </x:is>
      </x:c>
      <x:c r="C11" s="20" t="inlineStr">
        <x:is>
          <x:t xml:space="preserve">Защитник</x:t>
        </x:is>
      </x:c>
      <x:c r="D11" s="20" t="n">
        <x:v>2</x:v>
      </x:c>
      <x:c r="E11" s="20" t="inlineStr">
        <x:is>
          <x:t xml:space="preserve">Геращенко</x:t>
        </x:is>
      </x:c>
      <x:c r="F11" s="20" t="inlineStr">
        <x:is>
          <x:t xml:space="preserve">Металлург</x:t>
        </x:is>
      </x:c>
      <x:c r="G11" s="21" t="n">
        <x:v>0</x:v>
      </x:c>
      <x:c r="H11" s="21" t="n">
        <x:v>55</x:v>
      </x:c>
      <x:c r="I11" s="20" t="inlineStr">
        <x:is>
          <x:t xml:space="preserve">04.12-05.12</x:t>
        </x:is>
      </x:c>
      <x:c r="J11" s="25" t="inlineStr">
        <x:is>
          <x:t xml:space="preserve">16.04.2026</x:t>
        </x:is>
      </x:c>
    </x:row>
    <x:row r="12">
      <x:c r="A12" s="20" t="inlineStr">
        <x:is>
          <x:t xml:space="preserve">Александр</x:t>
        </x:is>
      </x:c>
      <x:c r="B12" s="20" t="inlineStr">
        <x:is>
          <x:t xml:space="preserve">Металлург</x:t>
        </x:is>
      </x:c>
      <x:c r="C12" s="20" t="inlineStr">
        <x:is>
          <x:t xml:space="preserve">Нападающий</x:t>
        </x:is>
      </x:c>
      <x:c r="D12" s="20" t="n">
        <x:v>1</x:v>
      </x:c>
      <x:c r="E12" s="20" t="inlineStr">
        <x:is>
          <x:t xml:space="preserve">Тимирев</x:t>
        </x:is>
      </x:c>
      <x:c r="F12" s="20" t="inlineStr">
        <x:is>
          <x:t xml:space="preserve">Металлург</x:t>
        </x:is>
      </x:c>
      <x:c r="G12" s="21" t="n">
        <x:v>0</x:v>
      </x:c>
      <x:c r="H12" s="21" t="n">
        <x:v>55</x:v>
      </x:c>
      <x:c r="I12" s="20" t="inlineStr">
        <x:is>
          <x:t xml:space="preserve">04.12-05.12</x:t>
        </x:is>
      </x:c>
      <x:c r="J12" s="25" t="inlineStr">
        <x:is>
          <x:t xml:space="preserve">16.04.2026</x:t>
        </x:is>
      </x:c>
    </x:row>
    <x:row r="13">
      <x:c r="A13" s="20" t="inlineStr">
        <x:is>
          <x:t xml:space="preserve">Александр</x:t>
        </x:is>
      </x:c>
      <x:c r="B13" s="20" t="inlineStr">
        <x:is>
          <x:t xml:space="preserve">Металлург</x:t>
        </x:is>
      </x:c>
      <x:c r="C13" s="20" t="inlineStr">
        <x:is>
          <x:t xml:space="preserve">Нападающий</x:t>
        </x:is>
      </x:c>
      <x:c r="D13" s="20" t="n">
        <x:v>2</x:v>
      </x:c>
      <x:c r="E13" s="20" t="inlineStr">
        <x:is>
          <x:t xml:space="preserve">Дидковский</x:t>
        </x:is>
      </x:c>
      <x:c r="F13" s="20" t="inlineStr">
        <x:is>
          <x:t xml:space="preserve">Славутич</x:t>
        </x:is>
      </x:c>
      <x:c r="G13" s="21" t="n">
        <x:v>3</x:v>
      </x:c>
      <x:c r="H13" s="21" t="n">
        <x:v>55</x:v>
      </x:c>
      <x:c r="I13" s="20" t="inlineStr">
        <x:is>
          <x:t xml:space="preserve">04.12-05.12</x:t>
        </x:is>
      </x:c>
      <x:c r="J13" s="25" t="inlineStr">
        <x:is>
          <x:t xml:space="preserve">16.04.2026</x:t>
        </x:is>
      </x:c>
    </x:row>
    <x:row r="14">
      <x:c r="A14" s="20" t="inlineStr">
        <x:is>
          <x:t xml:space="preserve">Александр</x:t>
        </x:is>
      </x:c>
      <x:c r="B14" s="20" t="inlineStr">
        <x:is>
          <x:t xml:space="preserve">Металлург</x:t>
        </x:is>
      </x:c>
      <x:c r="C14" s="20" t="inlineStr">
        <x:is>
          <x:t xml:space="preserve">Нападающий</x:t>
        </x:is>
      </x:c>
      <x:c r="D14" s="20" t="n">
        <x:v>3</x:v>
      </x:c>
      <x:c r="E14" s="20" t="inlineStr">
        <x:is>
          <x:t xml:space="preserve">Козячий</x:t>
        </x:is>
      </x:c>
      <x:c r="F14" s="20" t="inlineStr">
        <x:is>
          <x:t xml:space="preserve">Металлург</x:t>
        </x:is>
      </x:c>
      <x:c r="G14" s="21" t="n">
        <x:v>0</x:v>
      </x:c>
      <x:c r="H14" s="21" t="n">
        <x:v>55</x:v>
      </x:c>
      <x:c r="I14" s="20" t="inlineStr">
        <x:is>
          <x:t xml:space="preserve">04.12-05.12</x:t>
        </x:is>
      </x:c>
      <x:c r="J14" s="25" t="inlineStr">
        <x:is>
          <x:t xml:space="preserve">16.04.2026</x:t>
        </x:is>
      </x:c>
    </x:row>
    <x:row r="15">
      <x:c r="A15" s="20" t="inlineStr">
        <x:is>
          <x:t xml:space="preserve">КатяБет</x:t>
        </x:is>
      </x:c>
      <x:c r="B15" s="20" t="inlineStr">
        <x:is>
          <x:t xml:space="preserve">Витебск</x:t>
        </x:is>
      </x:c>
      <x:c r="C15" s="20" t="inlineStr">
        <x:is>
          <x:t xml:space="preserve">Вратарь</x:t>
        </x:is>
      </x:c>
      <x:c r="D15" s="20" t="n">
        <x:v>1</x:v>
      </x:c>
      <x:c r="E15" s="20" t="inlineStr">
        <x:is>
          <x:t xml:space="preserve">Большаков</x:t>
        </x:is>
      </x:c>
      <x:c r="F15" s="20" t="inlineStr">
        <x:is>
          <x:t xml:space="preserve">Металлург</x:t>
        </x:is>
      </x:c>
      <x:c r="G15" s="21" t="n">
        <x:v>0</x:v>
      </x:c>
      <x:c r="H15" s="21" t="n">
        <x:v>46</x:v>
      </x:c>
      <x:c r="I15" s="20" t="inlineStr">
        <x:is>
          <x:t xml:space="preserve">04.12-05.12</x:t>
        </x:is>
      </x:c>
      <x:c r="J15" s="25" t="inlineStr">
        <x:is>
          <x:t xml:space="preserve">16.04.2026</x:t>
        </x:is>
      </x:c>
    </x:row>
    <x:row r="16">
      <x:c r="A16" s="20" t="inlineStr">
        <x:is>
          <x:t xml:space="preserve">КатяБет</x:t>
        </x:is>
      </x:c>
      <x:c r="B16" s="20" t="inlineStr">
        <x:is>
          <x:t xml:space="preserve">Витебск</x:t>
        </x:is>
      </x:c>
      <x:c r="C16" s="20" t="inlineStr">
        <x:is>
          <x:t xml:space="preserve">Защитник</x:t>
        </x:is>
      </x:c>
      <x:c r="D16" s="20" t="n">
        <x:v>1</x:v>
      </x:c>
      <x:c r="E16" s="20" t="inlineStr">
        <x:is>
          <x:t xml:space="preserve">Геращенко</x:t>
        </x:is>
      </x:c>
      <x:c r="F16" s="20" t="inlineStr">
        <x:is>
          <x:t xml:space="preserve">Металлург</x:t>
        </x:is>
      </x:c>
      <x:c r="G16" s="21" t="n">
        <x:v>0</x:v>
      </x:c>
      <x:c r="H16" s="21" t="n">
        <x:v>46</x:v>
      </x:c>
      <x:c r="I16" s="20" t="inlineStr">
        <x:is>
          <x:t xml:space="preserve">04.12-05.12</x:t>
        </x:is>
      </x:c>
      <x:c r="J16" s="25" t="inlineStr">
        <x:is>
          <x:t xml:space="preserve">16.04.2026</x:t>
        </x:is>
      </x:c>
    </x:row>
    <x:row r="17">
      <x:c r="A17" s="20" t="inlineStr">
        <x:is>
          <x:t xml:space="preserve">КатяБет</x:t>
        </x:is>
      </x:c>
      <x:c r="B17" s="20" t="inlineStr">
        <x:is>
          <x:t xml:space="preserve">Витебск</x:t>
        </x:is>
      </x:c>
      <x:c r="C17" s="20" t="inlineStr">
        <x:is>
          <x:t xml:space="preserve">Защитник</x:t>
        </x:is>
      </x:c>
      <x:c r="D17" s="20" t="n">
        <x:v>2</x:v>
      </x:c>
      <x:c r="E17" s="20" t="inlineStr">
        <x:is>
          <x:t xml:space="preserve">Волченков</x:t>
        </x:is>
      </x:c>
      <x:c r="F17" s="20" t="inlineStr">
        <x:is>
          <x:t xml:space="preserve">Металлург</x:t>
        </x:is>
      </x:c>
      <x:c r="G17" s="21" t="n">
        <x:v>0</x:v>
      </x:c>
      <x:c r="H17" s="21" t="n">
        <x:v>46</x:v>
      </x:c>
      <x:c r="I17" s="20" t="inlineStr">
        <x:is>
          <x:t xml:space="preserve">04.12-05.12</x:t>
        </x:is>
      </x:c>
      <x:c r="J17" s="25" t="inlineStr">
        <x:is>
          <x:t xml:space="preserve">16.04.2026</x:t>
        </x:is>
      </x:c>
    </x:row>
    <x:row r="18">
      <x:c r="A18" s="20" t="inlineStr">
        <x:is>
          <x:t xml:space="preserve">КатяБет</x:t>
        </x:is>
      </x:c>
      <x:c r="B18" s="20" t="inlineStr">
        <x:is>
          <x:t xml:space="preserve">Витебск</x:t>
        </x:is>
      </x:c>
      <x:c r="C18" s="20" t="inlineStr">
        <x:is>
          <x:t xml:space="preserve">Нападающий</x:t>
        </x:is>
      </x:c>
      <x:c r="D18" s="20" t="n">
        <x:v>1</x:v>
      </x:c>
      <x:c r="E18" s="20" t="inlineStr">
        <x:is>
          <x:t xml:space="preserve">Усков</x:t>
        </x:is>
      </x:c>
      <x:c r="F18" s="20" t="inlineStr">
        <x:is>
          <x:t xml:space="preserve">Металлург</x:t>
        </x:is>
      </x:c>
      <x:c r="G18" s="21" t="n">
        <x:v>2</x:v>
      </x:c>
      <x:c r="H18" s="21" t="n">
        <x:v>46</x:v>
      </x:c>
      <x:c r="I18" s="20" t="inlineStr">
        <x:is>
          <x:t xml:space="preserve">04.12-05.12</x:t>
        </x:is>
      </x:c>
      <x:c r="J18" s="25" t="inlineStr">
        <x:is>
          <x:t xml:space="preserve">16.04.2026</x:t>
        </x:is>
      </x:c>
    </x:row>
    <x:row r="19">
      <x:c r="A19" s="20" t="inlineStr">
        <x:is>
          <x:t xml:space="preserve">КатяБет</x:t>
        </x:is>
      </x:c>
      <x:c r="B19" s="20" t="inlineStr">
        <x:is>
          <x:t xml:space="preserve">Витебск</x:t>
        </x:is>
      </x:c>
      <x:c r="C19" s="20" t="inlineStr">
        <x:is>
          <x:t xml:space="preserve">Нападающий</x:t>
        </x:is>
      </x:c>
      <x:c r="D19" s="20" t="n">
        <x:v>2</x:v>
      </x:c>
      <x:c r="E19" s="20" t="inlineStr">
        <x:is>
          <x:t xml:space="preserve">Тимирев</x:t>
        </x:is>
      </x:c>
      <x:c r="F19" s="20" t="inlineStr">
        <x:is>
          <x:t xml:space="preserve">Металлург</x:t>
        </x:is>
      </x:c>
      <x:c r="G19" s="21" t="n">
        <x:v>0</x:v>
      </x:c>
      <x:c r="H19" s="21" t="n">
        <x:v>46</x:v>
      </x:c>
      <x:c r="I19" s="20" t="inlineStr">
        <x:is>
          <x:t xml:space="preserve">04.12-05.12</x:t>
        </x:is>
      </x:c>
      <x:c r="J19" s="25" t="inlineStr">
        <x:is>
          <x:t xml:space="preserve">16.04.2026</x:t>
        </x:is>
      </x:c>
    </x:row>
    <x:row r="20">
      <x:c r="A20" s="20" t="inlineStr">
        <x:is>
          <x:t xml:space="preserve">КатяБет</x:t>
        </x:is>
      </x:c>
      <x:c r="B20" s="20" t="inlineStr">
        <x:is>
          <x:t xml:space="preserve">Витебск</x:t>
        </x:is>
      </x:c>
      <x:c r="C20" s="20" t="inlineStr">
        <x:is>
          <x:t xml:space="preserve">Нападающий</x:t>
        </x:is>
      </x:c>
      <x:c r="D20" s="20" t="n">
        <x:v>3</x:v>
      </x:c>
      <x:c r="E20" s="20" t="inlineStr">
        <x:is>
          <x:t xml:space="preserve">Веремеенко</x:t>
        </x:is>
      </x:c>
      <x:c r="F20" s="20" t="inlineStr">
        <x:is>
          <x:t xml:space="preserve">Металлург</x:t>
        </x:is>
      </x:c>
      <x:c r="G20" s="21" t="n">
        <x:v>1</x:v>
      </x:c>
      <x:c r="H20" s="21" t="n">
        <x:v>46</x:v>
      </x:c>
      <x:c r="I20" s="20" t="inlineStr">
        <x:is>
          <x:t xml:space="preserve">04.12-05.12</x:t>
        </x:is>
      </x:c>
      <x:c r="J20" s="25" t="inlineStr">
        <x:is>
          <x:t xml:space="preserve">16.04.2026</x:t>
        </x:is>
      </x:c>
    </x:row>
    <x:row r="21">
      <x:c r="A21" s="20" t="inlineStr">
        <x:is>
          <x:t xml:space="preserve">Яна</x:t>
        </x:is>
      </x:c>
      <x:c r="B21" s="20" t="inlineStr">
        <x:is>
          <x:t xml:space="preserve">Брест</x:t>
        </x:is>
      </x:c>
      <x:c r="C21" s="20" t="inlineStr">
        <x:is>
          <x:t xml:space="preserve">Вратарь</x:t>
        </x:is>
      </x:c>
      <x:c r="D21" s="20" t="n">
        <x:v>1</x:v>
      </x:c>
      <x:c r="E21" s="20" t="inlineStr">
        <x:is>
          <x:t xml:space="preserve"/>
        </x:is>
      </x:c>
      <x:c r="F21" s="20" t="inlineStr">
        <x:is>
          <x:t xml:space="preserve"/>
        </x:is>
      </x:c>
      <x:c r="G21" s="21" t="n">
        <x:v>0</x:v>
      </x:c>
      <x:c r="H21" s="21" t="n">
        <x:v>22</x:v>
      </x:c>
      <x:c r="I21" s="20" t="inlineStr">
        <x:is>
          <x:t xml:space="preserve">04.12-05.12</x:t>
        </x:is>
      </x:c>
      <x:c r="J21" s="25" t="inlineStr">
        <x:is>
          <x:t xml:space="preserve">16.04.2026</x:t>
        </x:is>
      </x:c>
    </x:row>
    <x:row r="22">
      <x:c r="A22" s="20" t="inlineStr">
        <x:is>
          <x:t xml:space="preserve">Яна</x:t>
        </x:is>
      </x:c>
      <x:c r="B22" s="20" t="inlineStr">
        <x:is>
          <x:t xml:space="preserve">Брест</x:t>
        </x:is>
      </x:c>
      <x:c r="C22" s="20" t="inlineStr">
        <x:is>
          <x:t xml:space="preserve">Защитник</x:t>
        </x:is>
      </x:c>
      <x:c r="D22" s="20" t="n">
        <x:v>1</x:v>
      </x:c>
      <x:c r="E22" s="20" t="inlineStr">
        <x:is>
          <x:t xml:space="preserve"/>
        </x:is>
      </x:c>
      <x:c r="F22" s="20" t="inlineStr">
        <x:is>
          <x:t xml:space="preserve"/>
        </x:is>
      </x:c>
      <x:c r="G22" s="21" t="n">
        <x:v>0</x:v>
      </x:c>
      <x:c r="H22" s="21" t="n">
        <x:v>22</x:v>
      </x:c>
      <x:c r="I22" s="20" t="inlineStr">
        <x:is>
          <x:t xml:space="preserve">04.12-05.12</x:t>
        </x:is>
      </x:c>
      <x:c r="J22" s="25" t="inlineStr">
        <x:is>
          <x:t xml:space="preserve">16.04.2026</x:t>
        </x:is>
      </x:c>
    </x:row>
    <x:row r="23">
      <x:c r="A23" s="20" t="inlineStr">
        <x:is>
          <x:t xml:space="preserve">Яна</x:t>
        </x:is>
      </x:c>
      <x:c r="B23" s="20" t="inlineStr">
        <x:is>
          <x:t xml:space="preserve">Брест</x:t>
        </x:is>
      </x:c>
      <x:c r="C23" s="20" t="inlineStr">
        <x:is>
          <x:t xml:space="preserve">Защитник</x:t>
        </x:is>
      </x:c>
      <x:c r="D23" s="20" t="n">
        <x:v>2</x:v>
      </x:c>
      <x:c r="E23" s="20" t="inlineStr">
        <x:is>
          <x:t xml:space="preserve">Маманович</x:t>
        </x:is>
      </x:c>
      <x:c r="F23" s="20" t="inlineStr">
        <x:is>
          <x:t xml:space="preserve">Юность</x:t>
        </x:is>
      </x:c>
      <x:c r="G23" s="21" t="n">
        <x:v>0</x:v>
      </x:c>
      <x:c r="H23" s="21" t="n">
        <x:v>22</x:v>
      </x:c>
      <x:c r="I23" s="20" t="inlineStr">
        <x:is>
          <x:t xml:space="preserve">04.12-05.12</x:t>
        </x:is>
      </x:c>
      <x:c r="J23" s="25" t="inlineStr">
        <x:is>
          <x:t xml:space="preserve">16.04.2026</x:t>
        </x:is>
      </x:c>
    </x:row>
    <x:row r="24">
      <x:c r="A24" s="20" t="inlineStr">
        <x:is>
          <x:t xml:space="preserve">Яна</x:t>
        </x:is>
      </x:c>
      <x:c r="B24" s="20" t="inlineStr">
        <x:is>
          <x:t xml:space="preserve">Брест</x:t>
        </x:is>
      </x:c>
      <x:c r="C24" s="20" t="inlineStr">
        <x:is>
          <x:t xml:space="preserve">Нападающий</x:t>
        </x:is>
      </x:c>
      <x:c r="D24" s="20" t="n">
        <x:v>1</x:v>
      </x:c>
      <x:c r="E24" s="20" t="inlineStr">
        <x:is>
          <x:t xml:space="preserve">Веремеенко</x:t>
        </x:is>
      </x:c>
      <x:c r="F24" s="20" t="inlineStr">
        <x:is>
          <x:t xml:space="preserve">Металлург</x:t>
        </x:is>
      </x:c>
      <x:c r="G24" s="21" t="n">
        <x:v>1</x:v>
      </x:c>
      <x:c r="H24" s="21" t="n">
        <x:v>22</x:v>
      </x:c>
      <x:c r="I24" s="20" t="inlineStr">
        <x:is>
          <x:t xml:space="preserve">04.12-05.12</x:t>
        </x:is>
      </x:c>
      <x:c r="J24" s="25" t="inlineStr">
        <x:is>
          <x:t xml:space="preserve">16.04.2026</x:t>
        </x:is>
      </x:c>
    </x:row>
    <x:row r="25">
      <x:c r="A25" s="20" t="inlineStr">
        <x:is>
          <x:t xml:space="preserve">Яна</x:t>
        </x:is>
      </x:c>
      <x:c r="B25" s="20" t="inlineStr">
        <x:is>
          <x:t xml:space="preserve">Брест</x:t>
        </x:is>
      </x:c>
      <x:c r="C25" s="20" t="inlineStr">
        <x:is>
          <x:t xml:space="preserve">Нападающий</x:t>
        </x:is>
      </x:c>
      <x:c r="D25" s="20" t="n">
        <x:v>2</x:v>
      </x:c>
      <x:c r="E25" s="20" t="inlineStr">
        <x:is>
          <x:t xml:space="preserve">Бовбель</x:t>
        </x:is>
      </x:c>
      <x:c r="F25" s="20" t="inlineStr">
        <x:is>
          <x:t xml:space="preserve">Металлург</x:t>
        </x:is>
      </x:c>
      <x:c r="G25" s="21" t="n">
        <x:v>0</x:v>
      </x:c>
      <x:c r="H25" s="21" t="n">
        <x:v>22</x:v>
      </x:c>
      <x:c r="I25" s="20" t="inlineStr">
        <x:is>
          <x:t xml:space="preserve">04.12-05.12</x:t>
        </x:is>
      </x:c>
      <x:c r="J25" s="25" t="inlineStr">
        <x:is>
          <x:t xml:space="preserve">16.04.2026</x:t>
        </x:is>
      </x:c>
    </x:row>
    <x:row r="26">
      <x:c r="A26" s="20" t="inlineStr">
        <x:is>
          <x:t xml:space="preserve">Яна</x:t>
        </x:is>
      </x:c>
      <x:c r="B26" s="20" t="inlineStr">
        <x:is>
          <x:t xml:space="preserve">Брест</x:t>
        </x:is>
      </x:c>
      <x:c r="C26" s="20" t="inlineStr">
        <x:is>
          <x:t xml:space="preserve">Нападающий</x:t>
        </x:is>
      </x:c>
      <x:c r="D26" s="20" t="n">
        <x:v>3</x:v>
      </x:c>
      <x:c r="E26" s="20" t="inlineStr">
        <x:is>
          <x:t xml:space="preserve">Спат</x:t>
        </x:is>
      </x:c>
      <x:c r="F26" s="20" t="inlineStr">
        <x:is>
          <x:t xml:space="preserve">Металлург</x:t>
        </x:is>
      </x:c>
      <x:c r="G26" s="21" t="n">
        <x:v>2</x:v>
      </x:c>
      <x:c r="H26" s="21" t="n">
        <x:v>22</x:v>
      </x:c>
      <x:c r="I26" s="20" t="inlineStr">
        <x:is>
          <x:t xml:space="preserve">04.12-05.12</x:t>
        </x:is>
      </x:c>
      <x:c r="J26" s="25" t="inlineStr">
        <x:is>
          <x:t xml:space="preserve">16.04.2026</x:t>
        </x:is>
      </x:c>
    </x:row>
    <x:row r="27">
      <x:c r="A27" s="20" t="inlineStr">
        <x:is>
          <x:t xml:space="preserve">Лерка</x:t>
        </x:is>
      </x:c>
      <x:c r="B27" s="20" t="inlineStr">
        <x:is>
          <x:t xml:space="preserve">Шахтер</x:t>
        </x:is>
      </x:c>
      <x:c r="C27" s="20" t="inlineStr">
        <x:is>
          <x:t xml:space="preserve">Вратарь</x:t>
        </x:is>
      </x:c>
      <x:c r="D27" s="20" t="n">
        <x:v>1</x:v>
      </x:c>
      <x:c r="E27" s="20" t="inlineStr">
        <x:is>
          <x:t xml:space="preserve">Синягин</x:t>
        </x:is>
      </x:c>
      <x:c r="F27" s="20" t="inlineStr">
        <x:is>
          <x:t xml:space="preserve">Славутич</x:t>
        </x:is>
      </x:c>
      <x:c r="G27" s="21" t="n">
        <x:v>2</x:v>
      </x:c>
      <x:c r="H27" s="21" t="n">
        <x:v>59</x:v>
      </x:c>
      <x:c r="I27" s="20" t="inlineStr">
        <x:is>
          <x:t xml:space="preserve">04.12-05.12</x:t>
        </x:is>
      </x:c>
      <x:c r="J27" s="25" t="inlineStr">
        <x:is>
          <x:t xml:space="preserve">16.04.2026</x:t>
        </x:is>
      </x:c>
    </x:row>
    <x:row r="28">
      <x:c r="A28" s="20" t="inlineStr">
        <x:is>
          <x:t xml:space="preserve">Лерка</x:t>
        </x:is>
      </x:c>
      <x:c r="B28" s="20" t="inlineStr">
        <x:is>
          <x:t xml:space="preserve">Шахтер</x:t>
        </x:is>
      </x:c>
      <x:c r="C28" s="20" t="inlineStr">
        <x:is>
          <x:t xml:space="preserve">Защитник</x:t>
        </x:is>
      </x:c>
      <x:c r="D28" s="20" t="n">
        <x:v>1</x:v>
      </x:c>
      <x:c r="E28" s="20" t="inlineStr">
        <x:is>
          <x:t xml:space="preserve">Ерменков</x:t>
        </x:is>
      </x:c>
      <x:c r="F28" s="20" t="inlineStr">
        <x:is>
          <x:t xml:space="preserve">Металлург</x:t>
        </x:is>
      </x:c>
      <x:c r="G28" s="21" t="n">
        <x:v>0</x:v>
      </x:c>
      <x:c r="H28" s="21" t="n">
        <x:v>59</x:v>
      </x:c>
      <x:c r="I28" s="20" t="inlineStr">
        <x:is>
          <x:t xml:space="preserve">04.12-05.12</x:t>
        </x:is>
      </x:c>
      <x:c r="J28" s="25" t="inlineStr">
        <x:is>
          <x:t xml:space="preserve">16.04.2026</x:t>
        </x:is>
      </x:c>
    </x:row>
    <x:row r="29">
      <x:c r="A29" s="20" t="inlineStr">
        <x:is>
          <x:t xml:space="preserve">Лерка</x:t>
        </x:is>
      </x:c>
      <x:c r="B29" s="20" t="inlineStr">
        <x:is>
          <x:t xml:space="preserve">Шахтер</x:t>
        </x:is>
      </x:c>
      <x:c r="C29" s="20" t="inlineStr">
        <x:is>
          <x:t xml:space="preserve">Защитник</x:t>
        </x:is>
      </x:c>
      <x:c r="D29" s="20" t="n">
        <x:v>2</x:v>
      </x:c>
      <x:c r="E29" s="20" t="inlineStr">
        <x:is>
          <x:t xml:space="preserve">Волченков</x:t>
        </x:is>
      </x:c>
      <x:c r="F29" s="20" t="inlineStr">
        <x:is>
          <x:t xml:space="preserve">Металлург</x:t>
        </x:is>
      </x:c>
      <x:c r="G29" s="21" t="n">
        <x:v>0</x:v>
      </x:c>
      <x:c r="H29" s="21" t="n">
        <x:v>59</x:v>
      </x:c>
      <x:c r="I29" s="20" t="inlineStr">
        <x:is>
          <x:t xml:space="preserve">04.12-05.12</x:t>
        </x:is>
      </x:c>
      <x:c r="J29" s="25" t="inlineStr">
        <x:is>
          <x:t xml:space="preserve">16.04.2026</x:t>
        </x:is>
      </x:c>
    </x:row>
    <x:row r="30">
      <x:c r="A30" s="20" t="inlineStr">
        <x:is>
          <x:t xml:space="preserve">Лерка</x:t>
        </x:is>
      </x:c>
      <x:c r="B30" s="20" t="inlineStr">
        <x:is>
          <x:t xml:space="preserve">Шахтер</x:t>
        </x:is>
      </x:c>
      <x:c r="C30" s="20" t="inlineStr">
        <x:is>
          <x:t xml:space="preserve">Нападающий</x:t>
        </x:is>
      </x:c>
      <x:c r="D30" s="20" t="n">
        <x:v>1</x:v>
      </x:c>
      <x:c r="E30" s="20" t="inlineStr">
        <x:is>
          <x:t xml:space="preserve">Тимирев</x:t>
        </x:is>
      </x:c>
      <x:c r="F30" s="20" t="inlineStr">
        <x:is>
          <x:t xml:space="preserve">Металлург</x:t>
        </x:is>
      </x:c>
      <x:c r="G30" s="21" t="n">
        <x:v>0</x:v>
      </x:c>
      <x:c r="H30" s="21" t="n">
        <x:v>59</x:v>
      </x:c>
      <x:c r="I30" s="20" t="inlineStr">
        <x:is>
          <x:t xml:space="preserve">04.12-05.12</x:t>
        </x:is>
      </x:c>
      <x:c r="J30" s="25" t="inlineStr">
        <x:is>
          <x:t xml:space="preserve">16.04.2026</x:t>
        </x:is>
      </x:c>
    </x:row>
    <x:row r="31">
      <x:c r="A31" s="20" t="inlineStr">
        <x:is>
          <x:t xml:space="preserve">Лерка</x:t>
        </x:is>
      </x:c>
      <x:c r="B31" s="20" t="inlineStr">
        <x:is>
          <x:t xml:space="preserve">Шахтер</x:t>
        </x:is>
      </x:c>
      <x:c r="C31" s="20" t="inlineStr">
        <x:is>
          <x:t xml:space="preserve">Нападающий</x:t>
        </x:is>
      </x:c>
      <x:c r="D31" s="20" t="n">
        <x:v>2</x:v>
      </x:c>
      <x:c r="E31" s="20" t="inlineStr">
        <x:is>
          <x:t xml:space="preserve">Веремеенко</x:t>
        </x:is>
      </x:c>
      <x:c r="F31" s="20" t="inlineStr">
        <x:is>
          <x:t xml:space="preserve">Металлург</x:t>
        </x:is>
      </x:c>
      <x:c r="G31" s="21" t="n">
        <x:v>1</x:v>
      </x:c>
      <x:c r="H31" s="21" t="n">
        <x:v>59</x:v>
      </x:c>
      <x:c r="I31" s="20" t="inlineStr">
        <x:is>
          <x:t xml:space="preserve">04.12-05.12</x:t>
        </x:is>
      </x:c>
      <x:c r="J31" s="25" t="inlineStr">
        <x:is>
          <x:t xml:space="preserve">16.04.2026</x:t>
        </x:is>
      </x:c>
    </x:row>
    <x:row r="32">
      <x:c r="A32" s="20" t="inlineStr">
        <x:is>
          <x:t xml:space="preserve">Лерка</x:t>
        </x:is>
      </x:c>
      <x:c r="B32" s="20" t="inlineStr">
        <x:is>
          <x:t xml:space="preserve">Шахтер</x:t>
        </x:is>
      </x:c>
      <x:c r="C32" s="20" t="inlineStr">
        <x:is>
          <x:t xml:space="preserve">Нападающий</x:t>
        </x:is>
      </x:c>
      <x:c r="D32" s="20" t="n">
        <x:v>3</x:v>
      </x:c>
      <x:c r="E32" s="20" t="inlineStr">
        <x:is>
          <x:t xml:space="preserve">Дидковский</x:t>
        </x:is>
      </x:c>
      <x:c r="F32" s="20" t="inlineStr">
        <x:is>
          <x:t xml:space="preserve">Славутич</x:t>
        </x:is>
      </x:c>
      <x:c r="G32" s="21" t="n">
        <x:v>3</x:v>
      </x:c>
      <x:c r="H32" s="21" t="n">
        <x:v>59</x:v>
      </x:c>
      <x:c r="I32" s="20" t="inlineStr">
        <x:is>
          <x:t xml:space="preserve">04.12-05.12</x:t>
        </x:is>
      </x:c>
      <x:c r="J32" s="25" t="inlineStr">
        <x:is>
          <x:t xml:space="preserve">16.04.2026</x:t>
        </x:is>
      </x:c>
    </x:row>
    <x:row r="33">
      <x:c r="A33" s="20" t="inlineStr">
        <x:is>
          <x:t xml:space="preserve">Валера Волович</x:t>
        </x:is>
      </x:c>
      <x:c r="B33" s="20" t="inlineStr">
        <x:is>
          <x:t xml:space="preserve"/>
        </x:is>
      </x:c>
      <x:c r="C33" s="20" t="inlineStr">
        <x:is>
          <x:t xml:space="preserve">Вратарь</x:t>
        </x:is>
      </x:c>
      <x:c r="D33" s="20" t="n">
        <x:v>1</x:v>
      </x:c>
      <x:c r="E33" s="20" t="inlineStr">
        <x:is>
          <x:t xml:space="preserve"/>
        </x:is>
      </x:c>
      <x:c r="F33" s="20" t="inlineStr">
        <x:is>
          <x:t xml:space="preserve"/>
        </x:is>
      </x:c>
      <x:c r="G33" s="21" t="n">
        <x:v>0</x:v>
      </x:c>
      <x:c r="H33" s="21" t="n">
        <x:v>10</x:v>
      </x:c>
      <x:c r="I33" s="20" t="inlineStr">
        <x:is>
          <x:t xml:space="preserve">04.12-05.12</x:t>
        </x:is>
      </x:c>
      <x:c r="J33" s="25" t="inlineStr">
        <x:is>
          <x:t xml:space="preserve">16.04.2026</x:t>
        </x:is>
      </x:c>
    </x:row>
    <x:row r="34">
      <x:c r="A34" s="20" t="inlineStr">
        <x:is>
          <x:t xml:space="preserve">Валера Волович</x:t>
        </x:is>
      </x:c>
      <x:c r="B34" s="20" t="inlineStr">
        <x:is>
          <x:t xml:space="preserve"/>
        </x:is>
      </x:c>
      <x:c r="C34" s="20" t="inlineStr">
        <x:is>
          <x:t xml:space="preserve">Защитник</x:t>
        </x:is>
      </x:c>
      <x:c r="D34" s="20" t="n">
        <x:v>1</x:v>
      </x:c>
      <x:c r="E34" s="20" t="inlineStr">
        <x:is>
          <x:t xml:space="preserve"/>
        </x:is>
      </x:c>
      <x:c r="F34" s="20" t="inlineStr">
        <x:is>
          <x:t xml:space="preserve"/>
        </x:is>
      </x:c>
      <x:c r="G34" s="21" t="n">
        <x:v>0</x:v>
      </x:c>
      <x:c r="H34" s="21" t="n">
        <x:v>10</x:v>
      </x:c>
      <x:c r="I34" s="20" t="inlineStr">
        <x:is>
          <x:t xml:space="preserve">04.12-05.12</x:t>
        </x:is>
      </x:c>
      <x:c r="J34" s="25" t="inlineStr">
        <x:is>
          <x:t xml:space="preserve">16.04.2026</x:t>
        </x:is>
      </x:c>
    </x:row>
    <x:row r="35">
      <x:c r="A35" s="20" t="inlineStr">
        <x:is>
          <x:t xml:space="preserve">Валера Волович</x:t>
        </x:is>
      </x:c>
      <x:c r="B35" s="20" t="inlineStr">
        <x:is>
          <x:t xml:space="preserve"/>
        </x:is>
      </x:c>
      <x:c r="C35" s="20" t="inlineStr">
        <x:is>
          <x:t xml:space="preserve">Защитник</x:t>
        </x:is>
      </x:c>
      <x:c r="D35" s="20" t="n">
        <x:v>2</x:v>
      </x:c>
      <x:c r="E35" s="20" t="inlineStr">
        <x:is>
          <x:t xml:space="preserve"/>
        </x:is>
      </x:c>
      <x:c r="F35" s="20" t="inlineStr">
        <x:is>
          <x:t xml:space="preserve"/>
        </x:is>
      </x:c>
      <x:c r="G35" s="21" t="n">
        <x:v>0</x:v>
      </x:c>
      <x:c r="H35" s="21" t="n">
        <x:v>10</x:v>
      </x:c>
      <x:c r="I35" s="20" t="inlineStr">
        <x:is>
          <x:t xml:space="preserve">04.12-05.12</x:t>
        </x:is>
      </x:c>
      <x:c r="J35" s="25" t="inlineStr">
        <x:is>
          <x:t xml:space="preserve">16.04.2026</x:t>
        </x:is>
      </x:c>
    </x:row>
    <x:row r="36">
      <x:c r="A36" s="20" t="inlineStr">
        <x:is>
          <x:t xml:space="preserve">Валера Волович</x:t>
        </x:is>
      </x:c>
      <x:c r="B36" s="20" t="inlineStr">
        <x:is>
          <x:t xml:space="preserve"/>
        </x:is>
      </x:c>
      <x:c r="C36" s="20" t="inlineStr">
        <x:is>
          <x:t xml:space="preserve">Нападающий</x:t>
        </x:is>
      </x:c>
      <x:c r="D36" s="20" t="n">
        <x:v>1</x:v>
      </x:c>
      <x:c r="E36" s="20" t="inlineStr">
        <x:is>
          <x:t xml:space="preserve"/>
        </x:is>
      </x:c>
      <x:c r="F36" s="20" t="inlineStr">
        <x:is>
          <x:t xml:space="preserve"/>
        </x:is>
      </x:c>
      <x:c r="G36" s="21" t="n">
        <x:v>0</x:v>
      </x:c>
      <x:c r="H36" s="21" t="n">
        <x:v>10</x:v>
      </x:c>
      <x:c r="I36" s="20" t="inlineStr">
        <x:is>
          <x:t xml:space="preserve">04.12-05.12</x:t>
        </x:is>
      </x:c>
      <x:c r="J36" s="25" t="inlineStr">
        <x:is>
          <x:t xml:space="preserve">16.04.2026</x:t>
        </x:is>
      </x:c>
    </x:row>
    <x:row r="37">
      <x:c r="A37" s="20" t="inlineStr">
        <x:is>
          <x:t xml:space="preserve">Валера Волович</x:t>
        </x:is>
      </x:c>
      <x:c r="B37" s="20" t="inlineStr">
        <x:is>
          <x:t xml:space="preserve"/>
        </x:is>
      </x:c>
      <x:c r="C37" s="20" t="inlineStr">
        <x:is>
          <x:t xml:space="preserve">Нападающий</x:t>
        </x:is>
      </x:c>
      <x:c r="D37" s="20" t="n">
        <x:v>2</x:v>
      </x:c>
      <x:c r="E37" s="20" t="inlineStr">
        <x:is>
          <x:t xml:space="preserve">Стефанович</x:t>
        </x:is>
      </x:c>
      <x:c r="F37" s="20" t="inlineStr">
        <x:is>
          <x:t xml:space="preserve">Металлург</x:t>
        </x:is>
      </x:c>
      <x:c r="G37" s="21" t="n">
        <x:v>0</x:v>
      </x:c>
      <x:c r="H37" s="21" t="n">
        <x:v>10</x:v>
      </x:c>
      <x:c r="I37" s="20" t="inlineStr">
        <x:is>
          <x:t xml:space="preserve">04.12-05.12</x:t>
        </x:is>
      </x:c>
      <x:c r="J37" s="25" t="inlineStr">
        <x:is>
          <x:t xml:space="preserve">16.04.2026</x:t>
        </x:is>
      </x:c>
    </x:row>
    <x:row r="38">
      <x:c r="A38" s="20" t="inlineStr">
        <x:is>
          <x:t xml:space="preserve">Валера Волович</x:t>
        </x:is>
      </x:c>
      <x:c r="B38" s="20" t="inlineStr">
        <x:is>
          <x:t xml:space="preserve"/>
        </x:is>
      </x:c>
      <x:c r="C38" s="20" t="inlineStr">
        <x:is>
          <x:t xml:space="preserve">Нападающий</x:t>
        </x:is>
      </x:c>
      <x:c r="D38" s="20" t="n">
        <x:v>3</x:v>
      </x:c>
      <x:c r="E38" s="20" t="inlineStr">
        <x:is>
          <x:t xml:space="preserve">Козячий</x:t>
        </x:is>
      </x:c>
      <x:c r="F38" s="20" t="inlineStr">
        <x:is>
          <x:t xml:space="preserve">Металлург</x:t>
        </x:is>
      </x:c>
      <x:c r="G38" s="21" t="n">
        <x:v>0</x:v>
      </x:c>
      <x:c r="H38" s="21" t="n">
        <x:v>10</x:v>
      </x:c>
      <x:c r="I38" s="20" t="inlineStr">
        <x:is>
          <x:t xml:space="preserve">04.12-05.12</x:t>
        </x:is>
      </x:c>
      <x:c r="J38" s="25" t="inlineStr">
        <x:is>
          <x:t xml:space="preserve">16.04.2026</x:t>
        </x:is>
      </x:c>
    </x:row>
    <x:row r="39">
      <x:c r="A39" s="20" t="inlineStr">
        <x:is>
          <x:t xml:space="preserve">Dasha</x:t>
        </x:is>
      </x:c>
      <x:c r="B39" s="20" t="inlineStr">
        <x:is>
          <x:t xml:space="preserve"/>
        </x:is>
      </x:c>
      <x:c r="C39" s="20" t="inlineStr">
        <x:is>
          <x:t xml:space="preserve">Вратарь</x:t>
        </x:is>
      </x:c>
      <x:c r="D39" s="20" t="n">
        <x:v>1</x:v>
      </x:c>
      <x:c r="E39" s="20" t="inlineStr">
        <x:is>
          <x:t xml:space="preserve"/>
        </x:is>
      </x:c>
      <x:c r="F39" s="20" t="inlineStr">
        <x:is>
          <x:t xml:space="preserve"/>
        </x:is>
      </x:c>
      <x:c r="G39" s="21" t="n">
        <x:v>0</x:v>
      </x:c>
      <x:c r="H39" s="21" t="n">
        <x:v>18</x:v>
      </x:c>
      <x:c r="I39" s="20" t="inlineStr">
        <x:is>
          <x:t xml:space="preserve">04.12-05.12</x:t>
        </x:is>
      </x:c>
      <x:c r="J39" s="25" t="inlineStr">
        <x:is>
          <x:t xml:space="preserve">16.04.2026</x:t>
        </x:is>
      </x:c>
    </x:row>
    <x:row r="40">
      <x:c r="A40" s="20" t="inlineStr">
        <x:is>
          <x:t xml:space="preserve">Dasha</x:t>
        </x:is>
      </x:c>
      <x:c r="B40" s="20" t="inlineStr">
        <x:is>
          <x:t xml:space="preserve"/>
        </x:is>
      </x:c>
      <x:c r="C40" s="20" t="inlineStr">
        <x:is>
          <x:t xml:space="preserve">Защитник</x:t>
        </x:is>
      </x:c>
      <x:c r="D40" s="20" t="n">
        <x:v>1</x:v>
      </x:c>
      <x:c r="E40" s="20" t="inlineStr">
        <x:is>
          <x:t xml:space="preserve"/>
        </x:is>
      </x:c>
      <x:c r="F40" s="20" t="inlineStr">
        <x:is>
          <x:t xml:space="preserve"/>
        </x:is>
      </x:c>
      <x:c r="G40" s="21" t="n">
        <x:v>0</x:v>
      </x:c>
      <x:c r="H40" s="21" t="n">
        <x:v>18</x:v>
      </x:c>
      <x:c r="I40" s="20" t="inlineStr">
        <x:is>
          <x:t xml:space="preserve">04.12-05.12</x:t>
        </x:is>
      </x:c>
      <x:c r="J40" s="25" t="inlineStr">
        <x:is>
          <x:t xml:space="preserve">16.04.2026</x:t>
        </x:is>
      </x:c>
    </x:row>
    <x:row r="41">
      <x:c r="A41" s="20" t="inlineStr">
        <x:is>
          <x:t xml:space="preserve">Dasha</x:t>
        </x:is>
      </x:c>
      <x:c r="B41" s="20" t="inlineStr">
        <x:is>
          <x:t xml:space="preserve"/>
        </x:is>
      </x:c>
      <x:c r="C41" s="20" t="inlineStr">
        <x:is>
          <x:t xml:space="preserve">Защитник</x:t>
        </x:is>
      </x:c>
      <x:c r="D41" s="20" t="n">
        <x:v>2</x:v>
      </x:c>
      <x:c r="E41" s="20" t="inlineStr">
        <x:is>
          <x:t xml:space="preserve"/>
        </x:is>
      </x:c>
      <x:c r="F41" s="20" t="inlineStr">
        <x:is>
          <x:t xml:space="preserve"/>
        </x:is>
      </x:c>
      <x:c r="G41" s="21" t="n">
        <x:v>0</x:v>
      </x:c>
      <x:c r="H41" s="21" t="n">
        <x:v>18</x:v>
      </x:c>
      <x:c r="I41" s="20" t="inlineStr">
        <x:is>
          <x:t xml:space="preserve">04.12-05.12</x:t>
        </x:is>
      </x:c>
      <x:c r="J41" s="25" t="inlineStr">
        <x:is>
          <x:t xml:space="preserve">16.04.2026</x:t>
        </x:is>
      </x:c>
    </x:row>
    <x:row r="42">
      <x:c r="A42" s="20" t="inlineStr">
        <x:is>
          <x:t xml:space="preserve">Dasha</x:t>
        </x:is>
      </x:c>
      <x:c r="B42" s="20" t="inlineStr">
        <x:is>
          <x:t xml:space="preserve"/>
        </x:is>
      </x:c>
      <x:c r="C42" s="20" t="inlineStr">
        <x:is>
          <x:t xml:space="preserve">Нападающий</x:t>
        </x:is>
      </x:c>
      <x:c r="D42" s="20" t="n">
        <x:v>1</x:v>
      </x:c>
      <x:c r="E42" s="20" t="inlineStr">
        <x:is>
          <x:t xml:space="preserve"/>
        </x:is>
      </x:c>
      <x:c r="F42" s="20" t="inlineStr">
        <x:is>
          <x:t xml:space="preserve"/>
        </x:is>
      </x:c>
      <x:c r="G42" s="21" t="n">
        <x:v>0</x:v>
      </x:c>
      <x:c r="H42" s="21" t="n">
        <x:v>18</x:v>
      </x:c>
      <x:c r="I42" s="20" t="inlineStr">
        <x:is>
          <x:t xml:space="preserve">04.12-05.12</x:t>
        </x:is>
      </x:c>
      <x:c r="J42" s="25" t="inlineStr">
        <x:is>
          <x:t xml:space="preserve">16.04.2026</x:t>
        </x:is>
      </x:c>
    </x:row>
    <x:row r="43">
      <x:c r="A43" s="20" t="inlineStr">
        <x:is>
          <x:t xml:space="preserve">Dasha</x:t>
        </x:is>
      </x:c>
      <x:c r="B43" s="20" t="inlineStr">
        <x:is>
          <x:t xml:space="preserve"/>
        </x:is>
      </x:c>
      <x:c r="C43" s="20" t="inlineStr">
        <x:is>
          <x:t xml:space="preserve">Нападающий</x:t>
        </x:is>
      </x:c>
      <x:c r="D43" s="20" t="n">
        <x:v>2</x:v>
      </x:c>
      <x:c r="E43" s="20" t="inlineStr">
        <x:is>
          <x:t xml:space="preserve"/>
        </x:is>
      </x:c>
      <x:c r="F43" s="20" t="inlineStr">
        <x:is>
          <x:t xml:space="preserve"/>
        </x:is>
      </x:c>
      <x:c r="G43" s="21" t="n">
        <x:v>0</x:v>
      </x:c>
      <x:c r="H43" s="21" t="n">
        <x:v>18</x:v>
      </x:c>
      <x:c r="I43" s="20" t="inlineStr">
        <x:is>
          <x:t xml:space="preserve">04.12-05.12</x:t>
        </x:is>
      </x:c>
      <x:c r="J43" s="25" t="inlineStr">
        <x:is>
          <x:t xml:space="preserve">16.04.2026</x:t>
        </x:is>
      </x:c>
    </x:row>
    <x:row r="44">
      <x:c r="A44" s="20" t="inlineStr">
        <x:is>
          <x:t xml:space="preserve">Dasha</x:t>
        </x:is>
      </x:c>
      <x:c r="B44" s="20" t="inlineStr">
        <x:is>
          <x:t xml:space="preserve"/>
        </x:is>
      </x:c>
      <x:c r="C44" s="20" t="inlineStr">
        <x:is>
          <x:t xml:space="preserve">Нападающий</x:t>
        </x:is>
      </x:c>
      <x:c r="D44" s="20" t="n">
        <x:v>3</x:v>
      </x:c>
      <x:c r="E44" s="20" t="inlineStr">
        <x:is>
          <x:t xml:space="preserve"/>
        </x:is>
      </x:c>
      <x:c r="F44" s="20" t="inlineStr">
        <x:is>
          <x:t xml:space="preserve"/>
        </x:is>
      </x:c>
      <x:c r="G44" s="21" t="n">
        <x:v>0</x:v>
      </x:c>
      <x:c r="H44" s="21" t="n">
        <x:v>18</x:v>
      </x:c>
      <x:c r="I44" s="20" t="inlineStr">
        <x:is>
          <x:t xml:space="preserve">04.12-05.12</x:t>
        </x:is>
      </x:c>
      <x:c r="J44" s="25" t="inlineStr">
        <x:is>
          <x:t xml:space="preserve">16.04.2026</x:t>
        </x:is>
      </x:c>
    </x:row>
    <x:row r="45">
      <x:c r="A45" s="20" t="inlineStr">
        <x:is>
          <x:t xml:space="preserve">Влада</x:t>
        </x:is>
      </x:c>
      <x:c r="B45" s="20" t="inlineStr">
        <x:is>
          <x:t xml:space="preserve">Шахтер</x:t>
        </x:is>
      </x:c>
      <x:c r="C45" s="20" t="inlineStr">
        <x:is>
          <x:t xml:space="preserve">Вратарь</x:t>
        </x:is>
      </x:c>
      <x:c r="D45" s="20" t="n">
        <x:v>1</x:v>
      </x:c>
      <x:c r="E45" s="20" t="inlineStr">
        <x:is>
          <x:t xml:space="preserve">Синягин</x:t>
        </x:is>
      </x:c>
      <x:c r="F45" s="20" t="inlineStr">
        <x:is>
          <x:t xml:space="preserve">Славутич</x:t>
        </x:is>
      </x:c>
      <x:c r="G45" s="21" t="n">
        <x:v>2</x:v>
      </x:c>
      <x:c r="H45" s="21" t="n">
        <x:v>45</x:v>
      </x:c>
      <x:c r="I45" s="20" t="inlineStr">
        <x:is>
          <x:t xml:space="preserve">04.12-05.12</x:t>
        </x:is>
      </x:c>
      <x:c r="J45" s="25" t="inlineStr">
        <x:is>
          <x:t xml:space="preserve">16.04.2026</x:t>
        </x:is>
      </x:c>
    </x:row>
    <x:row r="46">
      <x:c r="A46" s="20" t="inlineStr">
        <x:is>
          <x:t xml:space="preserve">Влада</x:t>
        </x:is>
      </x:c>
      <x:c r="B46" s="20" t="inlineStr">
        <x:is>
          <x:t xml:space="preserve">Шахтер</x:t>
        </x:is>
      </x:c>
      <x:c r="C46" s="20" t="inlineStr">
        <x:is>
          <x:t xml:space="preserve">Защитник</x:t>
        </x:is>
      </x:c>
      <x:c r="D46" s="20" t="n">
        <x:v>1</x:v>
      </x:c>
      <x:c r="E46" s="20" t="inlineStr">
        <x:is>
          <x:t xml:space="preserve">Геращенко</x:t>
        </x:is>
      </x:c>
      <x:c r="F46" s="20" t="inlineStr">
        <x:is>
          <x:t xml:space="preserve">Металлург</x:t>
        </x:is>
      </x:c>
      <x:c r="G46" s="21" t="n">
        <x:v>0</x:v>
      </x:c>
      <x:c r="H46" s="21" t="n">
        <x:v>45</x:v>
      </x:c>
      <x:c r="I46" s="20" t="inlineStr">
        <x:is>
          <x:t xml:space="preserve">04.12-05.12</x:t>
        </x:is>
      </x:c>
      <x:c r="J46" s="25" t="inlineStr">
        <x:is>
          <x:t xml:space="preserve">16.04.2026</x:t>
        </x:is>
      </x:c>
    </x:row>
    <x:row r="47">
      <x:c r="A47" s="20" t="inlineStr">
        <x:is>
          <x:t xml:space="preserve">Влада</x:t>
        </x:is>
      </x:c>
      <x:c r="B47" s="20" t="inlineStr">
        <x:is>
          <x:t xml:space="preserve">Шахтер</x:t>
        </x:is>
      </x:c>
      <x:c r="C47" s="20" t="inlineStr">
        <x:is>
          <x:t xml:space="preserve">Защитник</x:t>
        </x:is>
      </x:c>
      <x:c r="D47" s="20" t="n">
        <x:v>2</x:v>
      </x:c>
      <x:c r="E47" s="20" t="inlineStr">
        <x:is>
          <x:t xml:space="preserve">Волченков</x:t>
        </x:is>
      </x:c>
      <x:c r="F47" s="20" t="inlineStr">
        <x:is>
          <x:t xml:space="preserve">Металлург</x:t>
        </x:is>
      </x:c>
      <x:c r="G47" s="21" t="n">
        <x:v>0</x:v>
      </x:c>
      <x:c r="H47" s="21" t="n">
        <x:v>45</x:v>
      </x:c>
      <x:c r="I47" s="20" t="inlineStr">
        <x:is>
          <x:t xml:space="preserve">04.12-05.12</x:t>
        </x:is>
      </x:c>
      <x:c r="J47" s="25" t="inlineStr">
        <x:is>
          <x:t xml:space="preserve">16.04.2026</x:t>
        </x:is>
      </x:c>
    </x:row>
    <x:row r="48">
      <x:c r="A48" s="20" t="inlineStr">
        <x:is>
          <x:t xml:space="preserve">Влада</x:t>
        </x:is>
      </x:c>
      <x:c r="B48" s="20" t="inlineStr">
        <x:is>
          <x:t xml:space="preserve">Шахтер</x:t>
        </x:is>
      </x:c>
      <x:c r="C48" s="20" t="inlineStr">
        <x:is>
          <x:t xml:space="preserve">Нападающий</x:t>
        </x:is>
      </x:c>
      <x:c r="D48" s="20" t="n">
        <x:v>1</x:v>
      </x:c>
      <x:c r="E48" s="20" t="inlineStr">
        <x:is>
          <x:t xml:space="preserve">Спат</x:t>
        </x:is>
      </x:c>
      <x:c r="F48" s="20" t="inlineStr">
        <x:is>
          <x:t xml:space="preserve">Металлург</x:t>
        </x:is>
      </x:c>
      <x:c r="G48" s="21" t="n">
        <x:v>2</x:v>
      </x:c>
      <x:c r="H48" s="21" t="n">
        <x:v>45</x:v>
      </x:c>
      <x:c r="I48" s="20" t="inlineStr">
        <x:is>
          <x:t xml:space="preserve">04.12-05.12</x:t>
        </x:is>
      </x:c>
      <x:c r="J48" s="25" t="inlineStr">
        <x:is>
          <x:t xml:space="preserve">16.04.2026</x:t>
        </x:is>
      </x:c>
    </x:row>
    <x:row r="49">
      <x:c r="A49" s="20" t="inlineStr">
        <x:is>
          <x:t xml:space="preserve">Влада</x:t>
        </x:is>
      </x:c>
      <x:c r="B49" s="20" t="inlineStr">
        <x:is>
          <x:t xml:space="preserve">Шахтер</x:t>
        </x:is>
      </x:c>
      <x:c r="C49" s="20" t="inlineStr">
        <x:is>
          <x:t xml:space="preserve">Нападающий</x:t>
        </x:is>
      </x:c>
      <x:c r="D49" s="20" t="n">
        <x:v>2</x:v>
      </x:c>
      <x:c r="E49" s="20" t="inlineStr">
        <x:is>
          <x:t xml:space="preserve">Носков</x:t>
        </x:is>
      </x:c>
      <x:c r="F49" s="20" t="inlineStr">
        <x:is>
          <x:t xml:space="preserve">Славутич</x:t>
        </x:is>
      </x:c>
      <x:c r="G49" s="21" t="n">
        <x:v>1</x:v>
      </x:c>
      <x:c r="H49" s="21" t="n">
        <x:v>45</x:v>
      </x:c>
      <x:c r="I49" s="20" t="inlineStr">
        <x:is>
          <x:t xml:space="preserve">04.12-05.12</x:t>
        </x:is>
      </x:c>
      <x:c r="J49" s="25" t="inlineStr">
        <x:is>
          <x:t xml:space="preserve">16.04.2026</x:t>
        </x:is>
      </x:c>
    </x:row>
    <x:row r="50">
      <x:c r="A50" s="20" t="inlineStr">
        <x:is>
          <x:t xml:space="preserve">Влада</x:t>
        </x:is>
      </x:c>
      <x:c r="B50" s="20" t="inlineStr">
        <x:is>
          <x:t xml:space="preserve">Шахтер</x:t>
        </x:is>
      </x:c>
      <x:c r="C50" s="20" t="inlineStr">
        <x:is>
          <x:t xml:space="preserve">Нападающий</x:t>
        </x:is>
      </x:c>
      <x:c r="D50" s="20" t="n">
        <x:v>3</x:v>
      </x:c>
      <x:c r="E50" s="20" t="inlineStr">
        <x:is>
          <x:t xml:space="preserve">Еркин</x:t>
        </x:is>
      </x:c>
      <x:c r="F50" s="20" t="inlineStr">
        <x:is>
          <x:t xml:space="preserve">Славутич</x:t>
        </x:is>
      </x:c>
      <x:c r="G50" s="21" t="n">
        <x:v>1</x:v>
      </x:c>
      <x:c r="H50" s="21" t="n">
        <x:v>45</x:v>
      </x:c>
      <x:c r="I50" s="20" t="inlineStr">
        <x:is>
          <x:t xml:space="preserve">04.12-05.12</x:t>
        </x:is>
      </x:c>
      <x:c r="J50" s="25" t="inlineStr">
        <x:is>
          <x:t xml:space="preserve">16.04.2026</x:t>
        </x:is>
      </x:c>
    </x:row>
    <x:row r="51">
      <x:c r="A51" s="20" t="inlineStr">
        <x:is>
          <x:t xml:space="preserve">Андрей</x:t>
        </x:is>
      </x:c>
      <x:c r="B51" s="20" t="inlineStr">
        <x:is>
          <x:t xml:space="preserve"/>
        </x:is>
      </x:c>
      <x:c r="C51" s="20" t="inlineStr">
        <x:is>
          <x:t xml:space="preserve">Вратарь</x:t>
        </x:is>
      </x:c>
      <x:c r="D51" s="20" t="n">
        <x:v>1</x:v>
      </x:c>
      <x:c r="E51" s="20" t="inlineStr">
        <x:is>
          <x:t xml:space="preserve"/>
        </x:is>
      </x:c>
      <x:c r="F51" s="20" t="inlineStr">
        <x:is>
          <x:t xml:space="preserve"/>
        </x:is>
      </x:c>
      <x:c r="G51" s="21" t="n">
        <x:v>0</x:v>
      </x:c>
      <x:c r="H51" s="21" t="n">
        <x:v>16</x:v>
      </x:c>
      <x:c r="I51" s="20" t="inlineStr">
        <x:is>
          <x:t xml:space="preserve">04.12-05.12</x:t>
        </x:is>
      </x:c>
      <x:c r="J51" s="25" t="inlineStr">
        <x:is>
          <x:t xml:space="preserve">16.04.2026</x:t>
        </x:is>
      </x:c>
    </x:row>
    <x:row r="52">
      <x:c r="A52" s="20" t="inlineStr">
        <x:is>
          <x:t xml:space="preserve">Андрей</x:t>
        </x:is>
      </x:c>
      <x:c r="B52" s="20" t="inlineStr">
        <x:is>
          <x:t xml:space="preserve"/>
        </x:is>
      </x:c>
      <x:c r="C52" s="20" t="inlineStr">
        <x:is>
          <x:t xml:space="preserve">Защитник</x:t>
        </x:is>
      </x:c>
      <x:c r="D52" s="20" t="n">
        <x:v>1</x:v>
      </x:c>
      <x:c r="E52" s="20" t="inlineStr">
        <x:is>
          <x:t xml:space="preserve">Волченков</x:t>
        </x:is>
      </x:c>
      <x:c r="F52" s="20" t="inlineStr">
        <x:is>
          <x:t xml:space="preserve">Металлург</x:t>
        </x:is>
      </x:c>
      <x:c r="G52" s="21" t="n">
        <x:v>0</x:v>
      </x:c>
      <x:c r="H52" s="21" t="n">
        <x:v>16</x:v>
      </x:c>
      <x:c r="I52" s="20" t="inlineStr">
        <x:is>
          <x:t xml:space="preserve">04.12-05.12</x:t>
        </x:is>
      </x:c>
      <x:c r="J52" s="25" t="inlineStr">
        <x:is>
          <x:t xml:space="preserve">16.04.2026</x:t>
        </x:is>
      </x:c>
    </x:row>
    <x:row r="53">
      <x:c r="A53" s="20" t="inlineStr">
        <x:is>
          <x:t xml:space="preserve">Андрей</x:t>
        </x:is>
      </x:c>
      <x:c r="B53" s="20" t="inlineStr">
        <x:is>
          <x:t xml:space="preserve"/>
        </x:is>
      </x:c>
      <x:c r="C53" s="20" t="inlineStr">
        <x:is>
          <x:t xml:space="preserve">Защитник</x:t>
        </x:is>
      </x:c>
      <x:c r="D53" s="20" t="n">
        <x:v>2</x:v>
      </x:c>
      <x:c r="E53" s="20" t="inlineStr">
        <x:is>
          <x:t xml:space="preserve">Озеров</x:t>
        </x:is>
      </x:c>
      <x:c r="F53" s="20" t="inlineStr">
        <x:is>
          <x:t xml:space="preserve">Славутич</x:t>
        </x:is>
      </x:c>
      <x:c r="G53" s="21" t="n">
        <x:v>0</x:v>
      </x:c>
      <x:c r="H53" s="21" t="n">
        <x:v>16</x:v>
      </x:c>
      <x:c r="I53" s="20" t="inlineStr">
        <x:is>
          <x:t xml:space="preserve">04.12-05.12</x:t>
        </x:is>
      </x:c>
      <x:c r="J53" s="25" t="inlineStr">
        <x:is>
          <x:t xml:space="preserve">16.04.2026</x:t>
        </x:is>
      </x:c>
    </x:row>
    <x:row r="54">
      <x:c r="A54" s="20" t="inlineStr">
        <x:is>
          <x:t xml:space="preserve">Андрей</x:t>
        </x:is>
      </x:c>
      <x:c r="B54" s="20" t="inlineStr">
        <x:is>
          <x:t xml:space="preserve"/>
        </x:is>
      </x:c>
      <x:c r="C54" s="20" t="inlineStr">
        <x:is>
          <x:t xml:space="preserve">Нападающий</x:t>
        </x:is>
      </x:c>
      <x:c r="D54" s="20" t="n">
        <x:v>1</x:v>
      </x:c>
      <x:c r="E54" s="20" t="inlineStr">
        <x:is>
          <x:t xml:space="preserve"/>
        </x:is>
      </x:c>
      <x:c r="F54" s="20" t="inlineStr">
        <x:is>
          <x:t xml:space="preserve"/>
        </x:is>
      </x:c>
      <x:c r="G54" s="21" t="n">
        <x:v>0</x:v>
      </x:c>
      <x:c r="H54" s="21" t="n">
        <x:v>16</x:v>
      </x:c>
      <x:c r="I54" s="20" t="inlineStr">
        <x:is>
          <x:t xml:space="preserve">04.12-05.12</x:t>
        </x:is>
      </x:c>
      <x:c r="J54" s="25" t="inlineStr">
        <x:is>
          <x:t xml:space="preserve">16.04.2026</x:t>
        </x:is>
      </x:c>
    </x:row>
    <x:row r="55">
      <x:c r="A55" s="20" t="inlineStr">
        <x:is>
          <x:t xml:space="preserve">Андрей</x:t>
        </x:is>
      </x:c>
      <x:c r="B55" s="20" t="inlineStr">
        <x:is>
          <x:t xml:space="preserve"/>
        </x:is>
      </x:c>
      <x:c r="C55" s="20" t="inlineStr">
        <x:is>
          <x:t xml:space="preserve">Нападающий</x:t>
        </x:is>
      </x:c>
      <x:c r="D55" s="20" t="n">
        <x:v>2</x:v>
      </x:c>
      <x:c r="E55" s="20" t="inlineStr">
        <x:is>
          <x:t xml:space="preserve">Веремеенко</x:t>
        </x:is>
      </x:c>
      <x:c r="F55" s="20" t="inlineStr">
        <x:is>
          <x:t xml:space="preserve">Металург</x:t>
        </x:is>
      </x:c>
      <x:c r="G55" s="21" t="n">
        <x:v>1</x:v>
      </x:c>
      <x:c r="H55" s="21" t="n">
        <x:v>16</x:v>
      </x:c>
      <x:c r="I55" s="20" t="inlineStr">
        <x:is>
          <x:t xml:space="preserve">04.12-05.12</x:t>
        </x:is>
      </x:c>
      <x:c r="J55" s="25" t="inlineStr">
        <x:is>
          <x:t xml:space="preserve">16.04.2026</x:t>
        </x:is>
      </x:c>
    </x:row>
    <x:row r="56">
      <x:c r="A56" s="20" t="inlineStr">
        <x:is>
          <x:t xml:space="preserve">Андрей</x:t>
        </x:is>
      </x:c>
      <x:c r="B56" s="20" t="inlineStr">
        <x:is>
          <x:t xml:space="preserve"/>
        </x:is>
      </x:c>
      <x:c r="C56" s="20" t="inlineStr">
        <x:is>
          <x:t xml:space="preserve">Нападающий</x:t>
        </x:is>
      </x:c>
      <x:c r="D56" s="20" t="n">
        <x:v>3</x:v>
      </x:c>
      <x:c r="E56" s="20" t="inlineStr">
        <x:is>
          <x:t xml:space="preserve"/>
        </x:is>
      </x:c>
      <x:c r="F56" s="20" t="inlineStr">
        <x:is>
          <x:t xml:space="preserve"/>
        </x:is>
      </x:c>
      <x:c r="G56" s="21" t="n">
        <x:v>0</x:v>
      </x:c>
      <x:c r="H56" s="21" t="n">
        <x:v>16</x:v>
      </x:c>
      <x:c r="I56" s="20" t="inlineStr">
        <x:is>
          <x:t xml:space="preserve">04.12-05.12</x:t>
        </x:is>
      </x:c>
      <x:c r="J56" s="25" t="inlineStr">
        <x:is>
          <x:t xml:space="preserve">16.04.2026</x:t>
        </x:is>
      </x:c>
    </x:row>
    <x:row r="57">
      <x:c r="A57" s="20" t="inlineStr">
        <x:is>
          <x:t xml:space="preserve">Александр Свиридов</x:t>
        </x:is>
      </x:c>
      <x:c r="B57" s="20" t="inlineStr">
        <x:is>
          <x:t xml:space="preserve">Юность-Минск</x:t>
        </x:is>
      </x:c>
      <x:c r="C57" s="20" t="inlineStr">
        <x:is>
          <x:t xml:space="preserve">Вратарь</x:t>
        </x:is>
      </x:c>
      <x:c r="D57" s="20" t="n">
        <x:v>1</x:v>
      </x:c>
      <x:c r="E57" s="20" t="inlineStr">
        <x:is>
          <x:t xml:space="preserve"/>
        </x:is>
      </x:c>
      <x:c r="F57" s="20" t="inlineStr">
        <x:is>
          <x:t xml:space="preserve"/>
        </x:is>
      </x:c>
      <x:c r="G57" s="21" t="n">
        <x:v>0</x:v>
      </x:c>
      <x:c r="H57" s="21" t="n">
        <x:v>21</x:v>
      </x:c>
      <x:c r="I57" s="20" t="inlineStr">
        <x:is>
          <x:t xml:space="preserve">04.12-05.12</x:t>
        </x:is>
      </x:c>
      <x:c r="J57" s="25" t="inlineStr">
        <x:is>
          <x:t xml:space="preserve">16.04.2026</x:t>
        </x:is>
      </x:c>
    </x:row>
    <x:row r="58">
      <x:c r="A58" s="20" t="inlineStr">
        <x:is>
          <x:t xml:space="preserve">Александр Свиридов</x:t>
        </x:is>
      </x:c>
      <x:c r="B58" s="20" t="inlineStr">
        <x:is>
          <x:t xml:space="preserve">Юность-Минск</x:t>
        </x:is>
      </x:c>
      <x:c r="C58" s="20" t="inlineStr">
        <x:is>
          <x:t xml:space="preserve">Защитник</x:t>
        </x:is>
      </x:c>
      <x:c r="D58" s="20" t="n">
        <x:v>1</x:v>
      </x:c>
      <x:c r="E58" s="20" t="inlineStr">
        <x:is>
          <x:t xml:space="preserve"/>
        </x:is>
      </x:c>
      <x:c r="F58" s="20" t="inlineStr">
        <x:is>
          <x:t xml:space="preserve"/>
        </x:is>
      </x:c>
      <x:c r="G58" s="21" t="n">
        <x:v>0</x:v>
      </x:c>
      <x:c r="H58" s="21" t="n">
        <x:v>21</x:v>
      </x:c>
      <x:c r="I58" s="20" t="inlineStr">
        <x:is>
          <x:t xml:space="preserve">04.12-05.12</x:t>
        </x:is>
      </x:c>
      <x:c r="J58" s="25" t="inlineStr">
        <x:is>
          <x:t xml:space="preserve">16.04.2026</x:t>
        </x:is>
      </x:c>
    </x:row>
    <x:row r="59">
      <x:c r="A59" s="20" t="inlineStr">
        <x:is>
          <x:t xml:space="preserve">Александр Свиридов</x:t>
        </x:is>
      </x:c>
      <x:c r="B59" s="20" t="inlineStr">
        <x:is>
          <x:t xml:space="preserve">Юность-Минск</x:t>
        </x:is>
      </x:c>
      <x:c r="C59" s="20" t="inlineStr">
        <x:is>
          <x:t xml:space="preserve">Защитник</x:t>
        </x:is>
      </x:c>
      <x:c r="D59" s="20" t="n">
        <x:v>2</x:v>
      </x:c>
      <x:c r="E59" s="20" t="inlineStr">
        <x:is>
          <x:t xml:space="preserve">Антоновский</x:t>
        </x:is>
      </x:c>
      <x:c r="F59" s="20" t="inlineStr">
        <x:is>
          <x:t xml:space="preserve">Славутич</x:t>
        </x:is>
      </x:c>
      <x:c r="G59" s="21" t="n">
        <x:v>1</x:v>
      </x:c>
      <x:c r="H59" s="21" t="n">
        <x:v>21</x:v>
      </x:c>
      <x:c r="I59" s="20" t="inlineStr">
        <x:is>
          <x:t xml:space="preserve">04.12-05.12</x:t>
        </x:is>
      </x:c>
      <x:c r="J59" s="25" t="inlineStr">
        <x:is>
          <x:t xml:space="preserve">16.04.2026</x:t>
        </x:is>
      </x:c>
    </x:row>
    <x:row r="60">
      <x:c r="A60" s="20" t="inlineStr">
        <x:is>
          <x:t xml:space="preserve">Александр Свиридов</x:t>
        </x:is>
      </x:c>
      <x:c r="B60" s="20" t="inlineStr">
        <x:is>
          <x:t xml:space="preserve">Юность-Минск</x:t>
        </x:is>
      </x:c>
      <x:c r="C60" s="20" t="inlineStr">
        <x:is>
          <x:t xml:space="preserve">Нападающий</x:t>
        </x:is>
      </x:c>
      <x:c r="D60" s="20" t="n">
        <x:v>1</x:v>
      </x:c>
      <x:c r="E60" s="20" t="inlineStr">
        <x:is>
          <x:t xml:space="preserve"/>
        </x:is>
      </x:c>
      <x:c r="F60" s="20" t="inlineStr">
        <x:is>
          <x:t xml:space="preserve"/>
        </x:is>
      </x:c>
      <x:c r="G60" s="21" t="n">
        <x:v>0</x:v>
      </x:c>
      <x:c r="H60" s="21" t="n">
        <x:v>21</x:v>
      </x:c>
      <x:c r="I60" s="20" t="inlineStr">
        <x:is>
          <x:t xml:space="preserve">04.12-05.12</x:t>
        </x:is>
      </x:c>
      <x:c r="J60" s="25" t="inlineStr">
        <x:is>
          <x:t xml:space="preserve">16.04.2026</x:t>
        </x:is>
      </x:c>
    </x:row>
    <x:row r="61">
      <x:c r="A61" s="20" t="inlineStr">
        <x:is>
          <x:t xml:space="preserve">Александр Свиридов</x:t>
        </x:is>
      </x:c>
      <x:c r="B61" s="20" t="inlineStr">
        <x:is>
          <x:t xml:space="preserve">Юность-Минск</x:t>
        </x:is>
      </x:c>
      <x:c r="C61" s="20" t="inlineStr">
        <x:is>
          <x:t xml:space="preserve">Нападающий</x:t>
        </x:is>
      </x:c>
      <x:c r="D61" s="20" t="n">
        <x:v>2</x:v>
      </x:c>
      <x:c r="E61" s="20" t="inlineStr">
        <x:is>
          <x:t xml:space="preserve"/>
        </x:is>
      </x:c>
      <x:c r="F61" s="20" t="inlineStr">
        <x:is>
          <x:t xml:space="preserve"/>
        </x:is>
      </x:c>
      <x:c r="G61" s="21" t="n">
        <x:v>0</x:v>
      </x:c>
      <x:c r="H61" s="21" t="n">
        <x:v>21</x:v>
      </x:c>
      <x:c r="I61" s="20" t="inlineStr">
        <x:is>
          <x:t xml:space="preserve">04.12-05.12</x:t>
        </x:is>
      </x:c>
      <x:c r="J61" s="25" t="inlineStr">
        <x:is>
          <x:t xml:space="preserve">16.04.2026</x:t>
        </x:is>
      </x:c>
    </x:row>
    <x:row r="62">
      <x:c r="A62" s="20" t="inlineStr">
        <x:is>
          <x:t xml:space="preserve">Александр Свиридов</x:t>
        </x:is>
      </x:c>
      <x:c r="B62" s="20" t="inlineStr">
        <x:is>
          <x:t xml:space="preserve">Юность-Минск</x:t>
        </x:is>
      </x:c>
      <x:c r="C62" s="20" t="inlineStr">
        <x:is>
          <x:t xml:space="preserve">Нападающий</x:t>
        </x:is>
      </x:c>
      <x:c r="D62" s="20" t="n">
        <x:v>3</x:v>
      </x:c>
      <x:c r="E62" s="20" t="inlineStr">
        <x:is>
          <x:t xml:space="preserve"/>
        </x:is>
      </x:c>
      <x:c r="F62" s="20" t="inlineStr">
        <x:is>
          <x:t xml:space="preserve"/>
        </x:is>
      </x:c>
      <x:c r="G62" s="21" t="n">
        <x:v>0</x:v>
      </x:c>
      <x:c r="H62" s="21" t="n">
        <x:v>21</x:v>
      </x:c>
      <x:c r="I62" s="20" t="inlineStr">
        <x:is>
          <x:t xml:space="preserve">04.12-05.12</x:t>
        </x:is>
      </x:c>
      <x:c r="J62" s="25" t="inlineStr">
        <x:is>
          <x:t xml:space="preserve">16.04.2026</x:t>
        </x:is>
      </x:c>
    </x:row>
    <x:row r="63">
      <x:c r="A63" s="20" t="inlineStr">
        <x:is>
          <x:t xml:space="preserve">Надюша</x:t>
        </x:is>
      </x:c>
      <x:c r="B63" s="20" t="inlineStr">
        <x:is>
          <x:t xml:space="preserve">Шахтер</x:t>
        </x:is>
      </x:c>
      <x:c r="C63" s="20" t="inlineStr">
        <x:is>
          <x:t xml:space="preserve">Вратарь</x:t>
        </x:is>
      </x:c>
      <x:c r="D63" s="20" t="n">
        <x:v>1</x:v>
      </x:c>
      <x:c r="E63" s="20" t="inlineStr">
        <x:is>
          <x:t xml:space="preserve">Синягин</x:t>
        </x:is>
      </x:c>
      <x:c r="F63" s="20" t="inlineStr">
        <x:is>
          <x:t xml:space="preserve">Славутич</x:t>
        </x:is>
      </x:c>
      <x:c r="G63" s="21" t="n">
        <x:v>2</x:v>
      </x:c>
      <x:c r="H63" s="21" t="n">
        <x:v>53</x:v>
      </x:c>
      <x:c r="I63" s="20" t="inlineStr">
        <x:is>
          <x:t xml:space="preserve">04.12-05.12</x:t>
        </x:is>
      </x:c>
      <x:c r="J63" s="25" t="inlineStr">
        <x:is>
          <x:t xml:space="preserve">16.04.2026</x:t>
        </x:is>
      </x:c>
    </x:row>
    <x:row r="64">
      <x:c r="A64" s="20" t="inlineStr">
        <x:is>
          <x:t xml:space="preserve">Надюша</x:t>
        </x:is>
      </x:c>
      <x:c r="B64" s="20" t="inlineStr">
        <x:is>
          <x:t xml:space="preserve">Шахтер</x:t>
        </x:is>
      </x:c>
      <x:c r="C64" s="20" t="inlineStr">
        <x:is>
          <x:t xml:space="preserve">Защитник</x:t>
        </x:is>
      </x:c>
      <x:c r="D64" s="20" t="n">
        <x:v>1</x:v>
      </x:c>
      <x:c r="E64" s="20" t="inlineStr">
        <x:is>
          <x:t xml:space="preserve">Волченков</x:t>
        </x:is>
      </x:c>
      <x:c r="F64" s="20" t="inlineStr">
        <x:is>
          <x:t xml:space="preserve">Металлург</x:t>
        </x:is>
      </x:c>
      <x:c r="G64" s="21" t="n">
        <x:v>0</x:v>
      </x:c>
      <x:c r="H64" s="21" t="n">
        <x:v>53</x:v>
      </x:c>
      <x:c r="I64" s="20" t="inlineStr">
        <x:is>
          <x:t xml:space="preserve">04.12-05.12</x:t>
        </x:is>
      </x:c>
      <x:c r="J64" s="25" t="inlineStr">
        <x:is>
          <x:t xml:space="preserve">16.04.2026</x:t>
        </x:is>
      </x:c>
    </x:row>
    <x:row r="65">
      <x:c r="A65" s="20" t="inlineStr">
        <x:is>
          <x:t xml:space="preserve">Надюша</x:t>
        </x:is>
      </x:c>
      <x:c r="B65" s="20" t="inlineStr">
        <x:is>
          <x:t xml:space="preserve">Шахтер</x:t>
        </x:is>
      </x:c>
      <x:c r="C65" s="20" t="inlineStr">
        <x:is>
          <x:t xml:space="preserve">Защитник</x:t>
        </x:is>
      </x:c>
      <x:c r="D65" s="20" t="n">
        <x:v>2</x:v>
      </x:c>
      <x:c r="E65" s="20" t="inlineStr">
        <x:is>
          <x:t xml:space="preserve">Ерменков</x:t>
        </x:is>
      </x:c>
      <x:c r="F65" s="20" t="inlineStr">
        <x:is>
          <x:t xml:space="preserve">Металлург</x:t>
        </x:is>
      </x:c>
      <x:c r="G65" s="21" t="n">
        <x:v>0</x:v>
      </x:c>
      <x:c r="H65" s="21" t="n">
        <x:v>53</x:v>
      </x:c>
      <x:c r="I65" s="20" t="inlineStr">
        <x:is>
          <x:t xml:space="preserve">04.12-05.12</x:t>
        </x:is>
      </x:c>
      <x:c r="J65" s="25" t="inlineStr">
        <x:is>
          <x:t xml:space="preserve">16.04.2026</x:t>
        </x:is>
      </x:c>
    </x:row>
    <x:row r="66">
      <x:c r="A66" s="20" t="inlineStr">
        <x:is>
          <x:t xml:space="preserve">Надюша</x:t>
        </x:is>
      </x:c>
      <x:c r="B66" s="20" t="inlineStr">
        <x:is>
          <x:t xml:space="preserve">Шахтер</x:t>
        </x:is>
      </x:c>
      <x:c r="C66" s="20" t="inlineStr">
        <x:is>
          <x:t xml:space="preserve">Нападающий</x:t>
        </x:is>
      </x:c>
      <x:c r="D66" s="20" t="n">
        <x:v>1</x:v>
      </x:c>
      <x:c r="E66" s="20" t="inlineStr">
        <x:is>
          <x:t xml:space="preserve">Веремеенко</x:t>
        </x:is>
      </x:c>
      <x:c r="F66" s="20" t="inlineStr">
        <x:is>
          <x:t xml:space="preserve">Металлург</x:t>
        </x:is>
      </x:c>
      <x:c r="G66" s="21" t="n">
        <x:v>1</x:v>
      </x:c>
      <x:c r="H66" s="21" t="n">
        <x:v>53</x:v>
      </x:c>
      <x:c r="I66" s="20" t="inlineStr">
        <x:is>
          <x:t xml:space="preserve">04.12-05.12</x:t>
        </x:is>
      </x:c>
      <x:c r="J66" s="25" t="inlineStr">
        <x:is>
          <x:t xml:space="preserve">16.04.2026</x:t>
        </x:is>
      </x:c>
    </x:row>
    <x:row r="67">
      <x:c r="A67" s="20" t="inlineStr">
        <x:is>
          <x:t xml:space="preserve">Надюша</x:t>
        </x:is>
      </x:c>
      <x:c r="B67" s="20" t="inlineStr">
        <x:is>
          <x:t xml:space="preserve">Шахтер</x:t>
        </x:is>
      </x:c>
      <x:c r="C67" s="20" t="inlineStr">
        <x:is>
          <x:t xml:space="preserve">Нападающий</x:t>
        </x:is>
      </x:c>
      <x:c r="D67" s="20" t="n">
        <x:v>2</x:v>
      </x:c>
      <x:c r="E67" s="20" t="inlineStr">
        <x:is>
          <x:t xml:space="preserve">Авраменко</x:t>
        </x:is>
      </x:c>
      <x:c r="F67" s="20" t="inlineStr">
        <x:is>
          <x:t xml:space="preserve">Славутич</x:t>
        </x:is>
      </x:c>
      <x:c r="G67" s="21" t="n">
        <x:v>2</x:v>
      </x:c>
      <x:c r="H67" s="21" t="n">
        <x:v>53</x:v>
      </x:c>
      <x:c r="I67" s="20" t="inlineStr">
        <x:is>
          <x:t xml:space="preserve">04.12-05.12</x:t>
        </x:is>
      </x:c>
      <x:c r="J67" s="25" t="inlineStr">
        <x:is>
          <x:t xml:space="preserve">16.04.2026</x:t>
        </x:is>
      </x:c>
    </x:row>
    <x:row r="68">
      <x:c r="A68" s="20" t="inlineStr">
        <x:is>
          <x:t xml:space="preserve">Надюша</x:t>
        </x:is>
      </x:c>
      <x:c r="B68" s="20" t="inlineStr">
        <x:is>
          <x:t xml:space="preserve">Шахтер</x:t>
        </x:is>
      </x:c>
      <x:c r="C68" s="20" t="inlineStr">
        <x:is>
          <x:t xml:space="preserve">Нападающий</x:t>
        </x:is>
      </x:c>
      <x:c r="D68" s="20" t="n">
        <x:v>3</x:v>
      </x:c>
      <x:c r="E68" s="20" t="inlineStr">
        <x:is>
          <x:t xml:space="preserve">Шевченко</x:t>
        </x:is>
      </x:c>
      <x:c r="F68" s="20" t="inlineStr">
        <x:is>
          <x:t xml:space="preserve">Металлург</x:t>
        </x:is>
      </x:c>
      <x:c r="G68" s="21" t="n">
        <x:v>1</x:v>
      </x:c>
      <x:c r="H68" s="21" t="n">
        <x:v>53</x:v>
      </x:c>
      <x:c r="I68" s="20" t="inlineStr">
        <x:is>
          <x:t xml:space="preserve">04.12-05.12</x:t>
        </x:is>
      </x:c>
      <x:c r="J68" s="25" t="inlineStr">
        <x:is>
          <x:t xml:space="preserve">16.04.2026</x:t>
        </x:is>
      </x:c>
    </x:row>
    <x:row r="69">
      <x:c r="A69" s="20" t="inlineStr">
        <x:is>
          <x:t xml:space="preserve">Катюша</x:t>
        </x:is>
      </x:c>
      <x:c r="B69" s="20" t="inlineStr">
        <x:is>
          <x:t xml:space="preserve">Витебск</x:t>
        </x:is>
      </x:c>
      <x:c r="C69" s="20" t="inlineStr">
        <x:is>
          <x:t xml:space="preserve">Вратарь</x:t>
        </x:is>
      </x:c>
      <x:c r="D69" s="20" t="n">
        <x:v>1</x:v>
      </x:c>
      <x:c r="E69" s="20" t="inlineStr">
        <x:is>
          <x:t xml:space="preserve">Большаков</x:t>
        </x:is>
      </x:c>
      <x:c r="F69" s="20" t="inlineStr">
        <x:is>
          <x:t xml:space="preserve">Металлург</x:t>
        </x:is>
      </x:c>
      <x:c r="G69" s="21" t="n">
        <x:v>0</x:v>
      </x:c>
      <x:c r="H69" s="21" t="n">
        <x:v>51</x:v>
      </x:c>
      <x:c r="I69" s="20" t="inlineStr">
        <x:is>
          <x:t xml:space="preserve">04.12-05.12</x:t>
        </x:is>
      </x:c>
      <x:c r="J69" s="25" t="inlineStr">
        <x:is>
          <x:t xml:space="preserve">16.04.2026</x:t>
        </x:is>
      </x:c>
    </x:row>
    <x:row r="70">
      <x:c r="A70" s="20" t="inlineStr">
        <x:is>
          <x:t xml:space="preserve">Катюша</x:t>
        </x:is>
      </x:c>
      <x:c r="B70" s="20" t="inlineStr">
        <x:is>
          <x:t xml:space="preserve">Витебск</x:t>
        </x:is>
      </x:c>
      <x:c r="C70" s="20" t="inlineStr">
        <x:is>
          <x:t xml:space="preserve">Защитник</x:t>
        </x:is>
      </x:c>
      <x:c r="D70" s="20" t="n">
        <x:v>1</x:v>
      </x:c>
      <x:c r="E70" s="20" t="inlineStr">
        <x:is>
          <x:t xml:space="preserve"/>
        </x:is>
      </x:c>
      <x:c r="F70" s="20" t="inlineStr">
        <x:is>
          <x:t xml:space="preserve"/>
        </x:is>
      </x:c>
      <x:c r="G70" s="21" t="n">
        <x:v>0</x:v>
      </x:c>
      <x:c r="H70" s="21" t="n">
        <x:v>51</x:v>
      </x:c>
      <x:c r="I70" s="20" t="inlineStr">
        <x:is>
          <x:t xml:space="preserve">04.12-05.12</x:t>
        </x:is>
      </x:c>
      <x:c r="J70" s="25" t="inlineStr">
        <x:is>
          <x:t xml:space="preserve">16.04.2026</x:t>
        </x:is>
      </x:c>
    </x:row>
    <x:row r="71">
      <x:c r="A71" s="20" t="inlineStr">
        <x:is>
          <x:t xml:space="preserve">Катюша</x:t>
        </x:is>
      </x:c>
      <x:c r="B71" s="20" t="inlineStr">
        <x:is>
          <x:t xml:space="preserve">Витебск</x:t>
        </x:is>
      </x:c>
      <x:c r="C71" s="20" t="inlineStr">
        <x:is>
          <x:t xml:space="preserve">Защитник</x:t>
        </x:is>
      </x:c>
      <x:c r="D71" s="20" t="n">
        <x:v>2</x:v>
      </x:c>
      <x:c r="E71" s="20" t="inlineStr">
        <x:is>
          <x:t xml:space="preserve">Озеров</x:t>
        </x:is>
      </x:c>
      <x:c r="F71" s="20" t="inlineStr">
        <x:is>
          <x:t xml:space="preserve">Славутич</x:t>
        </x:is>
      </x:c>
      <x:c r="G71" s="21" t="n">
        <x:v>0</x:v>
      </x:c>
      <x:c r="H71" s="21" t="n">
        <x:v>51</x:v>
      </x:c>
      <x:c r="I71" s="20" t="inlineStr">
        <x:is>
          <x:t xml:space="preserve">04.12-05.12</x:t>
        </x:is>
      </x:c>
      <x:c r="J71" s="25" t="inlineStr">
        <x:is>
          <x:t xml:space="preserve">16.04.2026</x:t>
        </x:is>
      </x:c>
    </x:row>
    <x:row r="72">
      <x:c r="A72" s="20" t="inlineStr">
        <x:is>
          <x:t xml:space="preserve">Катюша</x:t>
        </x:is>
      </x:c>
      <x:c r="B72" s="20" t="inlineStr">
        <x:is>
          <x:t xml:space="preserve">Витебск</x:t>
        </x:is>
      </x:c>
      <x:c r="C72" s="20" t="inlineStr">
        <x:is>
          <x:t xml:space="preserve">Нападающий</x:t>
        </x:is>
      </x:c>
      <x:c r="D72" s="20" t="n">
        <x:v>1</x:v>
      </x:c>
      <x:c r="E72" s="20" t="inlineStr">
        <x:is>
          <x:t xml:space="preserve">Волченков</x:t>
        </x:is>
      </x:c>
      <x:c r="F72" s="20" t="inlineStr">
        <x:is>
          <x:t xml:space="preserve">Металлург</x:t>
        </x:is>
      </x:c>
      <x:c r="G72" s="21" t="n">
        <x:v>0</x:v>
      </x:c>
      <x:c r="H72" s="21" t="n">
        <x:v>51</x:v>
      </x:c>
      <x:c r="I72" s="20" t="inlineStr">
        <x:is>
          <x:t xml:space="preserve">04.12-05.12</x:t>
        </x:is>
      </x:c>
      <x:c r="J72" s="25" t="inlineStr">
        <x:is>
          <x:t xml:space="preserve">16.04.2026</x:t>
        </x:is>
      </x:c>
    </x:row>
    <x:row r="73">
      <x:c r="A73" s="20" t="inlineStr">
        <x:is>
          <x:t xml:space="preserve">Катюша</x:t>
        </x:is>
      </x:c>
      <x:c r="B73" s="20" t="inlineStr">
        <x:is>
          <x:t xml:space="preserve">Витебск</x:t>
        </x:is>
      </x:c>
      <x:c r="C73" s="20" t="inlineStr">
        <x:is>
          <x:t xml:space="preserve">Нападающий</x:t>
        </x:is>
      </x:c>
      <x:c r="D73" s="20" t="n">
        <x:v>2</x:v>
      </x:c>
      <x:c r="E73" s="20" t="inlineStr">
        <x:is>
          <x:t xml:space="preserve">Стефанович</x:t>
        </x:is>
      </x:c>
      <x:c r="F73" s="20" t="inlineStr">
        <x:is>
          <x:t xml:space="preserve">Металлург</x:t>
        </x:is>
      </x:c>
      <x:c r="G73" s="21" t="n">
        <x:v>0</x:v>
      </x:c>
      <x:c r="H73" s="21" t="n">
        <x:v>51</x:v>
      </x:c>
      <x:c r="I73" s="20" t="inlineStr">
        <x:is>
          <x:t xml:space="preserve">04.12-05.12</x:t>
        </x:is>
      </x:c>
      <x:c r="J73" s="25" t="inlineStr">
        <x:is>
          <x:t xml:space="preserve">16.04.2026</x:t>
        </x:is>
      </x:c>
    </x:row>
    <x:row r="74">
      <x:c r="A74" s="20" t="inlineStr">
        <x:is>
          <x:t xml:space="preserve">Катюша</x:t>
        </x:is>
      </x:c>
      <x:c r="B74" s="20" t="inlineStr">
        <x:is>
          <x:t xml:space="preserve">Витебск</x:t>
        </x:is>
      </x:c>
      <x:c r="C74" s="20" t="inlineStr">
        <x:is>
          <x:t xml:space="preserve">Нападающий</x:t>
        </x:is>
      </x:c>
      <x:c r="D74" s="20" t="n">
        <x:v>3</x:v>
      </x:c>
      <x:c r="E74" s="20" t="inlineStr">
        <x:is>
          <x:t xml:space="preserve">Веремеенко</x:t>
        </x:is>
      </x:c>
      <x:c r="F74" s="20" t="inlineStr">
        <x:is>
          <x:t xml:space="preserve">Металлург</x:t>
        </x:is>
      </x:c>
      <x:c r="G74" s="21" t="n">
        <x:v>1</x:v>
      </x:c>
      <x:c r="H74" s="21" t="n">
        <x:v>51</x:v>
      </x:c>
      <x:c r="I74" s="20" t="inlineStr">
        <x:is>
          <x:t xml:space="preserve">04.12-05.12</x:t>
        </x:is>
      </x:c>
      <x:c r="J74" s="25" t="inlineStr">
        <x:is>
          <x:t xml:space="preserve">16.04.2026</x:t>
        </x:is>
      </x:c>
    </x:row>
    <x:row r="75">
      <x:c r="A75" s="20" t="inlineStr">
        <x:is>
          <x:t xml:space="preserve">Жека</x:t>
        </x:is>
      </x:c>
      <x:c r="B75" s="20" t="inlineStr">
        <x:is>
          <x:t xml:space="preserve"/>
        </x:is>
      </x:c>
      <x:c r="C75" s="20" t="inlineStr">
        <x:is>
          <x:t xml:space="preserve">Вратарь</x:t>
        </x:is>
      </x:c>
      <x:c r="D75" s="20" t="n">
        <x:v>1</x:v>
      </x:c>
      <x:c r="E75" s="20" t="inlineStr">
        <x:is>
          <x:t xml:space="preserve">Синягин</x:t>
        </x:is>
      </x:c>
      <x:c r="F75" s="20" t="inlineStr">
        <x:is>
          <x:t xml:space="preserve">Славутич</x:t>
        </x:is>
      </x:c>
      <x:c r="G75" s="21" t="n">
        <x:v>2</x:v>
      </x:c>
      <x:c r="H75" s="21" t="n">
        <x:v>56</x:v>
      </x:c>
      <x:c r="I75" s="20" t="inlineStr">
        <x:is>
          <x:t xml:space="preserve">04.12-05.12</x:t>
        </x:is>
      </x:c>
      <x:c r="J75" s="25" t="inlineStr">
        <x:is>
          <x:t xml:space="preserve">16.04.2026</x:t>
        </x:is>
      </x:c>
    </x:row>
    <x:row r="76">
      <x:c r="A76" s="20" t="inlineStr">
        <x:is>
          <x:t xml:space="preserve">Жека</x:t>
        </x:is>
      </x:c>
      <x:c r="B76" s="20" t="inlineStr">
        <x:is>
          <x:t xml:space="preserve"/>
        </x:is>
      </x:c>
      <x:c r="C76" s="20" t="inlineStr">
        <x:is>
          <x:t xml:space="preserve">Защитник</x:t>
        </x:is>
      </x:c>
      <x:c r="D76" s="20" t="n">
        <x:v>1</x:v>
      </x:c>
      <x:c r="E76" s="20" t="inlineStr">
        <x:is>
          <x:t xml:space="preserve">Волченков</x:t>
        </x:is>
      </x:c>
      <x:c r="F76" s="20" t="inlineStr">
        <x:is>
          <x:t xml:space="preserve">Металлург</x:t>
        </x:is>
      </x:c>
      <x:c r="G76" s="21" t="n">
        <x:v>0</x:v>
      </x:c>
      <x:c r="H76" s="21" t="n">
        <x:v>56</x:v>
      </x:c>
      <x:c r="I76" s="20" t="inlineStr">
        <x:is>
          <x:t xml:space="preserve">04.12-05.12</x:t>
        </x:is>
      </x:c>
      <x:c r="J76" s="25" t="inlineStr">
        <x:is>
          <x:t xml:space="preserve">16.04.2026</x:t>
        </x:is>
      </x:c>
    </x:row>
    <x:row r="77">
      <x:c r="A77" s="20" t="inlineStr">
        <x:is>
          <x:t xml:space="preserve">Жека</x:t>
        </x:is>
      </x:c>
      <x:c r="B77" s="20" t="inlineStr">
        <x:is>
          <x:t xml:space="preserve"/>
        </x:is>
      </x:c>
      <x:c r="C77" s="20" t="inlineStr">
        <x:is>
          <x:t xml:space="preserve">Защитник</x:t>
        </x:is>
      </x:c>
      <x:c r="D77" s="20" t="n">
        <x:v>2</x:v>
      </x:c>
      <x:c r="E77" s="20" t="inlineStr">
        <x:is>
          <x:t xml:space="preserve">Антоновский</x:t>
        </x:is>
      </x:c>
      <x:c r="F77" s="20" t="inlineStr">
        <x:is>
          <x:t xml:space="preserve">Славутич</x:t>
        </x:is>
      </x:c>
      <x:c r="G77" s="21" t="n">
        <x:v>1</x:v>
      </x:c>
      <x:c r="H77" s="21" t="n">
        <x:v>56</x:v>
      </x:c>
      <x:c r="I77" s="20" t="inlineStr">
        <x:is>
          <x:t xml:space="preserve">04.12-05.12</x:t>
        </x:is>
      </x:c>
      <x:c r="J77" s="25" t="inlineStr">
        <x:is>
          <x:t xml:space="preserve">16.04.2026</x:t>
        </x:is>
      </x:c>
    </x:row>
    <x:row r="78">
      <x:c r="A78" s="20" t="inlineStr">
        <x:is>
          <x:t xml:space="preserve">Жека</x:t>
        </x:is>
      </x:c>
      <x:c r="B78" s="20" t="inlineStr">
        <x:is>
          <x:t xml:space="preserve"/>
        </x:is>
      </x:c>
      <x:c r="C78" s="20" t="inlineStr">
        <x:is>
          <x:t xml:space="preserve">Нападающий</x:t>
        </x:is>
      </x:c>
      <x:c r="D78" s="20" t="n">
        <x:v>1</x:v>
      </x:c>
      <x:c r="E78" s="20" t="inlineStr">
        <x:is>
          <x:t xml:space="preserve"/>
        </x:is>
      </x:c>
      <x:c r="F78" s="20" t="inlineStr">
        <x:is>
          <x:t xml:space="preserve"/>
        </x:is>
      </x:c>
      <x:c r="G78" s="21" t="n">
        <x:v>0</x:v>
      </x:c>
      <x:c r="H78" s="21" t="n">
        <x:v>56</x:v>
      </x:c>
      <x:c r="I78" s="20" t="inlineStr">
        <x:is>
          <x:t xml:space="preserve">04.12-05.12</x:t>
        </x:is>
      </x:c>
      <x:c r="J78" s="25" t="inlineStr">
        <x:is>
          <x:t xml:space="preserve">16.04.2026</x:t>
        </x:is>
      </x:c>
    </x:row>
    <x:row r="79">
      <x:c r="A79" s="20" t="inlineStr">
        <x:is>
          <x:t xml:space="preserve">Жека</x:t>
        </x:is>
      </x:c>
      <x:c r="B79" s="20" t="inlineStr">
        <x:is>
          <x:t xml:space="preserve"/>
        </x:is>
      </x:c>
      <x:c r="C79" s="20" t="inlineStr">
        <x:is>
          <x:t xml:space="preserve">Нападающий</x:t>
        </x:is>
      </x:c>
      <x:c r="D79" s="20" t="n">
        <x:v>2</x:v>
      </x:c>
      <x:c r="E79" s="20" t="inlineStr">
        <x:is>
          <x:t xml:space="preserve"/>
        </x:is>
      </x:c>
      <x:c r="F79" s="20" t="inlineStr">
        <x:is>
          <x:t xml:space="preserve"/>
        </x:is>
      </x:c>
      <x:c r="G79" s="21" t="n">
        <x:v>0</x:v>
      </x:c>
      <x:c r="H79" s="21" t="n">
        <x:v>56</x:v>
      </x:c>
      <x:c r="I79" s="20" t="inlineStr">
        <x:is>
          <x:t xml:space="preserve">04.12-05.12</x:t>
        </x:is>
      </x:c>
      <x:c r="J79" s="25" t="inlineStr">
        <x:is>
          <x:t xml:space="preserve">16.04.2026</x:t>
        </x:is>
      </x:c>
    </x:row>
    <x:row r="80">
      <x:c r="A80" s="20" t="inlineStr">
        <x:is>
          <x:t xml:space="preserve">Жека</x:t>
        </x:is>
      </x:c>
      <x:c r="B80" s="20" t="inlineStr">
        <x:is>
          <x:t xml:space="preserve"/>
        </x:is>
      </x:c>
      <x:c r="C80" s="20" t="inlineStr">
        <x:is>
          <x:t xml:space="preserve">Нападающий</x:t>
        </x:is>
      </x:c>
      <x:c r="D80" s="20" t="n">
        <x:v>3</x:v>
      </x:c>
      <x:c r="E80" s="20" t="inlineStr">
        <x:is>
          <x:t xml:space="preserve">Дидковский</x:t>
        </x:is>
      </x:c>
      <x:c r="F80" s="20" t="inlineStr">
        <x:is>
          <x:t xml:space="preserve">Славутич</x:t>
        </x:is>
      </x:c>
      <x:c r="G80" s="21" t="n">
        <x:v>3</x:v>
      </x:c>
      <x:c r="H80" s="21" t="n">
        <x:v>56</x:v>
      </x:c>
      <x:c r="I80" s="20" t="inlineStr">
        <x:is>
          <x:t xml:space="preserve">04.12-05.12</x:t>
        </x:is>
      </x:c>
      <x:c r="J80" s="25" t="inlineStr">
        <x:is>
          <x:t xml:space="preserve">16.04.2026</x:t>
        </x:is>
      </x:c>
    </x:row>
    <x:row r="81">
      <x:c r="A81" s="20" t="inlineStr">
        <x:is>
          <x:t xml:space="preserve">Алексей</x:t>
        </x:is>
      </x:c>
      <x:c r="B81" s="20" t="inlineStr">
        <x:is>
          <x:t xml:space="preserve"/>
        </x:is>
      </x:c>
      <x:c r="C81" s="20" t="inlineStr">
        <x:is>
          <x:t xml:space="preserve">Вратарь</x:t>
        </x:is>
      </x:c>
      <x:c r="D81" s="20" t="n">
        <x:v>1</x:v>
      </x:c>
      <x:c r="E81" s="20" t="inlineStr">
        <x:is>
          <x:t xml:space="preserve">Синягин</x:t>
        </x:is>
      </x:c>
      <x:c r="F81" s="20" t="inlineStr">
        <x:is>
          <x:t xml:space="preserve">Славутич</x:t>
        </x:is>
      </x:c>
      <x:c r="G81" s="21" t="n">
        <x:v>2</x:v>
      </x:c>
      <x:c r="H81" s="21" t="n">
        <x:v>45</x:v>
      </x:c>
      <x:c r="I81" s="20" t="inlineStr">
        <x:is>
          <x:t xml:space="preserve">04.12-05.12</x:t>
        </x:is>
      </x:c>
      <x:c r="J81" s="25" t="inlineStr">
        <x:is>
          <x:t xml:space="preserve">16.04.2026</x:t>
        </x:is>
      </x:c>
    </x:row>
    <x:row r="82">
      <x:c r="A82" s="20" t="inlineStr">
        <x:is>
          <x:t xml:space="preserve">Алексей</x:t>
        </x:is>
      </x:c>
      <x:c r="B82" s="20" t="inlineStr">
        <x:is>
          <x:t xml:space="preserve"/>
        </x:is>
      </x:c>
      <x:c r="C82" s="20" t="inlineStr">
        <x:is>
          <x:t xml:space="preserve">Защитник</x:t>
        </x:is>
      </x:c>
      <x:c r="D82" s="20" t="n">
        <x:v>1</x:v>
      </x:c>
      <x:c r="E82" s="20" t="inlineStr">
        <x:is>
          <x:t xml:space="preserve">Волченков</x:t>
        </x:is>
      </x:c>
      <x:c r="F82" s="20" t="inlineStr">
        <x:is>
          <x:t xml:space="preserve">Металлург</x:t>
        </x:is>
      </x:c>
      <x:c r="G82" s="21" t="n">
        <x:v>0</x:v>
      </x:c>
      <x:c r="H82" s="21" t="n">
        <x:v>45</x:v>
      </x:c>
      <x:c r="I82" s="20" t="inlineStr">
        <x:is>
          <x:t xml:space="preserve">04.12-05.12</x:t>
        </x:is>
      </x:c>
      <x:c r="J82" s="25" t="inlineStr">
        <x:is>
          <x:t xml:space="preserve">16.04.2026</x:t>
        </x:is>
      </x:c>
    </x:row>
    <x:row r="83">
      <x:c r="A83" s="20" t="inlineStr">
        <x:is>
          <x:t xml:space="preserve">Алексей</x:t>
        </x:is>
      </x:c>
      <x:c r="B83" s="20" t="inlineStr">
        <x:is>
          <x:t xml:space="preserve"/>
        </x:is>
      </x:c>
      <x:c r="C83" s="20" t="inlineStr">
        <x:is>
          <x:t xml:space="preserve">Защитник</x:t>
        </x:is>
      </x:c>
      <x:c r="D83" s="20" t="n">
        <x:v>2</x:v>
      </x:c>
      <x:c r="E83" s="20" t="inlineStr">
        <x:is>
          <x:t xml:space="preserve">Казачек</x:t>
        </x:is>
      </x:c>
      <x:c r="F83" s="20" t="inlineStr">
        <x:is>
          <x:t xml:space="preserve">Славутич</x:t>
        </x:is>
      </x:c>
      <x:c r="G83" s="21" t="n">
        <x:v>0</x:v>
      </x:c>
      <x:c r="H83" s="21" t="n">
        <x:v>45</x:v>
      </x:c>
      <x:c r="I83" s="20" t="inlineStr">
        <x:is>
          <x:t xml:space="preserve">04.12-05.12</x:t>
        </x:is>
      </x:c>
      <x:c r="J83" s="25" t="inlineStr">
        <x:is>
          <x:t xml:space="preserve">16.04.2026</x:t>
        </x:is>
      </x:c>
    </x:row>
    <x:row r="84">
      <x:c r="A84" s="20" t="inlineStr">
        <x:is>
          <x:t xml:space="preserve">Алексей</x:t>
        </x:is>
      </x:c>
      <x:c r="B84" s="20" t="inlineStr">
        <x:is>
          <x:t xml:space="preserve"/>
        </x:is>
      </x:c>
      <x:c r="C84" s="20" t="inlineStr">
        <x:is>
          <x:t xml:space="preserve">Нападающий</x:t>
        </x:is>
      </x:c>
      <x:c r="D84" s="20" t="n">
        <x:v>1</x:v>
      </x:c>
      <x:c r="E84" s="20" t="inlineStr">
        <x:is>
          <x:t xml:space="preserve">Веремеенко</x:t>
        </x:is>
      </x:c>
      <x:c r="F84" s="20" t="inlineStr">
        <x:is>
          <x:t xml:space="preserve">Металлург</x:t>
        </x:is>
      </x:c>
      <x:c r="G84" s="21" t="n">
        <x:v>1</x:v>
      </x:c>
      <x:c r="H84" s="21" t="n">
        <x:v>45</x:v>
      </x:c>
      <x:c r="I84" s="20" t="inlineStr">
        <x:is>
          <x:t xml:space="preserve">04.12-05.12</x:t>
        </x:is>
      </x:c>
      <x:c r="J84" s="25" t="inlineStr">
        <x:is>
          <x:t xml:space="preserve">16.04.2026</x:t>
        </x:is>
      </x:c>
    </x:row>
    <x:row r="85">
      <x:c r="A85" s="20" t="inlineStr">
        <x:is>
          <x:t xml:space="preserve">Алексей</x:t>
        </x:is>
      </x:c>
      <x:c r="B85" s="20" t="inlineStr">
        <x:is>
          <x:t xml:space="preserve"/>
        </x:is>
      </x:c>
      <x:c r="C85" s="20" t="inlineStr">
        <x:is>
          <x:t xml:space="preserve">Нападающий</x:t>
        </x:is>
      </x:c>
      <x:c r="D85" s="20" t="n">
        <x:v>2</x:v>
      </x:c>
      <x:c r="E85" s="20" t="inlineStr">
        <x:is>
          <x:t xml:space="preserve">Тимирев</x:t>
        </x:is>
      </x:c>
      <x:c r="F85" s="20" t="inlineStr">
        <x:is>
          <x:t xml:space="preserve">Металлург</x:t>
        </x:is>
      </x:c>
      <x:c r="G85" s="21" t="n">
        <x:v>0</x:v>
      </x:c>
      <x:c r="H85" s="21" t="n">
        <x:v>45</x:v>
      </x:c>
      <x:c r="I85" s="20" t="inlineStr">
        <x:is>
          <x:t xml:space="preserve">04.12-05.12</x:t>
        </x:is>
      </x:c>
      <x:c r="J85" s="25" t="inlineStr">
        <x:is>
          <x:t xml:space="preserve">16.04.2026</x:t>
        </x:is>
      </x:c>
    </x:row>
    <x:row r="86">
      <x:c r="A86" s="20" t="inlineStr">
        <x:is>
          <x:t xml:space="preserve">Алексей</x:t>
        </x:is>
      </x:c>
      <x:c r="B86" s="20" t="inlineStr">
        <x:is>
          <x:t xml:space="preserve"/>
        </x:is>
      </x:c>
      <x:c r="C86" s="20" t="inlineStr">
        <x:is>
          <x:t xml:space="preserve">Нападающий</x:t>
        </x:is>
      </x:c>
      <x:c r="D86" s="20" t="n">
        <x:v>3</x:v>
      </x:c>
      <x:c r="E86" s="20" t="inlineStr">
        <x:is>
          <x:t xml:space="preserve">Дидковский</x:t>
        </x:is>
      </x:c>
      <x:c r="F86" s="20" t="inlineStr">
        <x:is>
          <x:t xml:space="preserve">Славутич</x:t>
        </x:is>
      </x:c>
      <x:c r="G86" s="21" t="n">
        <x:v>3</x:v>
      </x:c>
      <x:c r="H86" s="21" t="n">
        <x:v>45</x:v>
      </x:c>
      <x:c r="I86" s="20" t="inlineStr">
        <x:is>
          <x:t xml:space="preserve">04.12-05.12</x:t>
        </x:is>
      </x:c>
      <x:c r="J86" s="25" t="inlineStr">
        <x:is>
          <x:t xml:space="preserve">16.04.2026</x:t>
        </x:is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4ace3adab9ee4ce0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1" customWidth="1"/>
    <x:col min="3" max="3" width="21" customWidth="1"/>
    <x:col min="4" max="4" width="20" customWidth="1"/>
    <x:col min="5" max="5" width="15" customWidth="1"/>
    <x:col min="6" max="6" width="14" customWidth="1"/>
  </x:cols>
  <x:sheetData>
    <x:row r="1" ht="24" customHeight="1">
      <x:c r="A1" s="1" t="inlineStr">
        <x:is>
          <x:t xml:space="preserve">Справочник игроков и частота выбора</x:t>
        </x:is>
      </x:c>
    </x:row>
    <x:row r="2">
      <x:c r="A2" s="7" t="inlineStr">
        <x:is>
          <x:t xml:space="preserve">Игрок</x:t>
        </x:is>
      </x:c>
      <x:c r="B2" s="7" t="inlineStr">
        <x:is>
          <x:t xml:space="preserve">Клуб</x:t>
        </x:is>
      </x:c>
      <x:c r="C2" s="7" t="inlineStr">
        <x:is>
          <x:t xml:space="preserve">Выборов в регулярке</x:t>
        </x:is>
      </x:c>
      <x:c r="D2" s="7" t="inlineStr">
        <x:is>
          <x:t xml:space="preserve">Выборов в плей-офф</x:t>
        </x:is>
      </x:c>
      <x:c r="E2" s="7" t="inlineStr">
        <x:is>
          <x:t xml:space="preserve">Всего выборов</x:t>
        </x:is>
      </x:c>
      <x:c r="F2" s="7" t="inlineStr">
        <x:is>
          <x:t xml:space="preserve">Тип частоты</x:t>
        </x:is>
      </x:c>
    </x:row>
    <x:row r="3">
      <x:c r="A3" s="20" t="inlineStr">
        <x:is>
          <x:t xml:space="preserve">Кунишников</x:t>
        </x:is>
      </x:c>
      <x:c r="B3" s="20" t="inlineStr">
        <x:is>
          <x:t xml:space="preserve">Лида</x:t>
        </x:is>
      </x:c>
      <x:c r="C3" s="20" t="n">
        <x:v>11</x:v>
      </x:c>
      <x:c r="D3" s="20" t="n">
        <x:v>0</x:v>
      </x:c>
      <x:c r="E3" s="20" t="n">
        <x:v>11</x:v>
      </x:c>
      <x:c r="F3" s="20" t="inlineStr">
        <x:is>
          <x:t xml:space="preserve">Хит</x:t>
        </x:is>
      </x:c>
    </x:row>
    <x:row r="4">
      <x:c r="A4" s="20" t="inlineStr">
        <x:is>
          <x:t xml:space="preserve">Волченков</x:t>
        </x:is>
      </x:c>
      <x:c r="B4" s="20" t="inlineStr">
        <x:is>
          <x:t xml:space="preserve">Металлург</x:t>
        </x:is>
      </x:c>
      <x:c r="C4" s="20" t="n">
        <x:v>1</x:v>
      </x:c>
      <x:c r="D4" s="20" t="n">
        <x:v>8</x:v>
      </x:c>
      <x:c r="E4" s="20" t="n">
        <x:v>9</x:v>
      </x:c>
      <x:c r="F4" s="20" t="inlineStr">
        <x:is>
          <x:t xml:space="preserve">Хит</x:t>
        </x:is>
      </x:c>
    </x:row>
    <x:row r="5">
      <x:c r="A5" s="20" t="inlineStr">
        <x:is>
          <x:t xml:space="preserve">Игорь Тяло</x:t>
        </x:is>
      </x:c>
      <x:c r="B5" s="20" t="inlineStr">
        <x:is>
          <x:t xml:space="preserve">Лида</x:t>
        </x:is>
      </x:c>
      <x:c r="C5" s="20" t="n">
        <x:v>7</x:v>
      </x:c>
      <x:c r="D5" s="20" t="n">
        <x:v>0</x:v>
      </x:c>
      <x:c r="E5" s="20" t="n">
        <x:v>7</x:v>
      </x:c>
      <x:c r="F5" s="20" t="inlineStr">
        <x:is>
          <x:t xml:space="preserve">Хит</x:t>
        </x:is>
      </x:c>
    </x:row>
    <x:row r="6">
      <x:c r="A6" s="20" t="inlineStr">
        <x:is>
          <x:t xml:space="preserve">Веремеенко</x:t>
        </x:is>
      </x:c>
      <x:c r="B6" s="20" t="inlineStr">
        <x:is>
          <x:t xml:space="preserve">Металлург</x:t>
        </x:is>
      </x:c>
      <x:c r="C6" s="20" t="n">
        <x:v>0</x:v>
      </x:c>
      <x:c r="D6" s="20" t="n">
        <x:v>6</x:v>
      </x:c>
      <x:c r="E6" s="20" t="n">
        <x:v>6</x:v>
      </x:c>
      <x:c r="F6" s="20" t="inlineStr">
        <x:is>
          <x:t xml:space="preserve">Хит</x:t>
        </x:is>
      </x:c>
    </x:row>
    <x:row r="7">
      <x:c r="A7" s="20" t="inlineStr">
        <x:is>
          <x:t xml:space="preserve">Синягин</x:t>
        </x:is>
      </x:c>
      <x:c r="B7" s="20" t="inlineStr">
        <x:is>
          <x:t xml:space="preserve">Славутич</x:t>
        </x:is>
      </x:c>
      <x:c r="C7" s="20" t="n">
        <x:v>0</x:v>
      </x:c>
      <x:c r="D7" s="20" t="n">
        <x:v>6</x:v>
      </x:c>
      <x:c r="E7" s="20" t="n">
        <x:v>6</x:v>
      </x:c>
      <x:c r="F7" s="20" t="inlineStr">
        <x:is>
          <x:t xml:space="preserve">Хит</x:t>
        </x:is>
      </x:c>
    </x:row>
    <x:row r="8">
      <x:c r="A8" s="20" t="inlineStr">
        <x:is>
          <x:t xml:space="preserve">Сурков</x:t>
        </x:is>
      </x:c>
      <x:c r="B8" s="20" t="inlineStr">
        <x:is>
          <x:t xml:space="preserve">Молодечно</x:t>
        </x:is>
      </x:c>
      <x:c r="C8" s="20" t="n">
        <x:v>6</x:v>
      </x:c>
      <x:c r="D8" s="20" t="n">
        <x:v>0</x:v>
      </x:c>
      <x:c r="E8" s="20" t="n">
        <x:v>6</x:v>
      </x:c>
      <x:c r="F8" s="20" t="inlineStr">
        <x:is>
          <x:t xml:space="preserve">Хит</x:t>
        </x:is>
      </x:c>
    </x:row>
    <x:row r="9">
      <x:c r="A9" s="20" t="inlineStr">
        <x:is>
          <x:t xml:space="preserve">Качеловский</x:t>
        </x:is>
      </x:c>
      <x:c r="B9" s="20" t="inlineStr">
        <x:is>
          <x:t xml:space="preserve">Гомель</x:t>
        </x:is>
      </x:c>
      <x:c r="C9" s="20" t="n">
        <x:v>5</x:v>
      </x:c>
      <x:c r="D9" s="20" t="n">
        <x:v>0</x:v>
      </x:c>
      <x:c r="E9" s="20" t="n">
        <x:v>5</x:v>
      </x:c>
      <x:c r="F9" s="20" t="inlineStr">
        <x:is>
          <x:t xml:space="preserve">Хит</x:t>
        </x:is>
      </x:c>
    </x:row>
    <x:row r="10">
      <x:c r="A10" s="20" t="inlineStr">
        <x:is>
          <x:t xml:space="preserve">Озеров</x:t>
        </x:is>
      </x:c>
      <x:c r="B10" s="20" t="inlineStr">
        <x:is>
          <x:t xml:space="preserve">Славутич</x:t>
        </x:is>
      </x:c>
      <x:c r="C10" s="20" t="n">
        <x:v>2</x:v>
      </x:c>
      <x:c r="D10" s="20" t="n">
        <x:v>3</x:v>
      </x:c>
      <x:c r="E10" s="20" t="n">
        <x:v>5</x:v>
      </x:c>
      <x:c r="F10" s="20" t="inlineStr">
        <x:is>
          <x:t xml:space="preserve">Хит</x:t>
        </x:is>
      </x:c>
    </x:row>
    <x:row r="11">
      <x:c r="A11" s="20" t="inlineStr">
        <x:is>
          <x:t xml:space="preserve">Тимирев</x:t>
        </x:is>
      </x:c>
      <x:c r="B11" s="20" t="inlineStr">
        <x:is>
          <x:t xml:space="preserve">Металлург</x:t>
        </x:is>
      </x:c>
      <x:c r="C11" s="20" t="n">
        <x:v>0</x:v>
      </x:c>
      <x:c r="D11" s="20" t="n">
        <x:v>5</x:v>
      </x:c>
      <x:c r="E11" s="20" t="n">
        <x:v>5</x:v>
      </x:c>
      <x:c r="F11" s="20" t="inlineStr">
        <x:is>
          <x:t xml:space="preserve">Хит</x:t>
        </x:is>
      </x:c>
    </x:row>
    <x:row r="12">
      <x:c r="A12" s="20" t="inlineStr">
        <x:is>
          <x:t xml:space="preserve">Геращенко</x:t>
        </x:is>
      </x:c>
      <x:c r="B12" s="20" t="inlineStr">
        <x:is>
          <x:t xml:space="preserve">Металлург</x:t>
        </x:is>
      </x:c>
      <x:c r="C12" s="20" t="n">
        <x:v>1</x:v>
      </x:c>
      <x:c r="D12" s="20" t="n">
        <x:v>3</x:v>
      </x:c>
      <x:c r="E12" s="20" t="n">
        <x:v>4</x:v>
      </x:c>
      <x:c r="F12" s="20" t="inlineStr">
        <x:is>
          <x:t xml:space="preserve">Хит</x:t>
        </x:is>
      </x:c>
    </x:row>
    <x:row r="13">
      <x:c r="A13" s="20" t="inlineStr">
        <x:is>
          <x:t xml:space="preserve">Дидковский</x:t>
        </x:is>
      </x:c>
      <x:c r="B13" s="20" t="inlineStr">
        <x:is>
          <x:t xml:space="preserve">Славутич</x:t>
        </x:is>
      </x:c>
      <x:c r="C13" s="20" t="n">
        <x:v>0</x:v>
      </x:c>
      <x:c r="D13" s="20" t="n">
        <x:v>4</x:v>
      </x:c>
      <x:c r="E13" s="20" t="n">
        <x:v>4</x:v>
      </x:c>
      <x:c r="F13" s="20" t="inlineStr">
        <x:is>
          <x:t xml:space="preserve">Хит</x:t>
        </x:is>
      </x:c>
    </x:row>
    <x:row r="14">
      <x:c r="A14" s="20" t="inlineStr">
        <x:is>
          <x:t xml:space="preserve">Козячий</x:t>
        </x:is>
      </x:c>
      <x:c r="B14" s="20" t="inlineStr">
        <x:is>
          <x:t xml:space="preserve">Металлург</x:t>
        </x:is>
      </x:c>
      <x:c r="C14" s="20" t="n">
        <x:v>2</x:v>
      </x:c>
      <x:c r="D14" s="20" t="n">
        <x:v>2</x:v>
      </x:c>
      <x:c r="E14" s="20" t="n">
        <x:v>4</x:v>
      </x:c>
      <x:c r="F14" s="20" t="inlineStr">
        <x:is>
          <x:t xml:space="preserve">Хит</x:t>
        </x:is>
      </x:c>
    </x:row>
    <x:row r="15">
      <x:c r="A15" s="20" t="inlineStr">
        <x:is>
          <x:t xml:space="preserve">Кучкин</x:t>
        </x:is>
      </x:c>
      <x:c r="B15" s="20" t="inlineStr">
        <x:is>
          <x:t xml:space="preserve">Юность</x:t>
        </x:is>
      </x:c>
      <x:c r="C15" s="20" t="n">
        <x:v>4</x:v>
      </x:c>
      <x:c r="D15" s="20" t="n">
        <x:v>0</x:v>
      </x:c>
      <x:c r="E15" s="20" t="n">
        <x:v>4</x:v>
      </x:c>
      <x:c r="F15" s="20" t="inlineStr">
        <x:is>
          <x:t xml:space="preserve">Хит</x:t>
        </x:is>
      </x:c>
    </x:row>
    <x:row r="16">
      <x:c r="A16" s="20" t="inlineStr">
        <x:is>
          <x:t xml:space="preserve">Антоновский</x:t>
        </x:is>
      </x:c>
      <x:c r="B16" s="20" t="inlineStr">
        <x:is>
          <x:t xml:space="preserve">Славутич</x:t>
        </x:is>
      </x:c>
      <x:c r="C16" s="20" t="n">
        <x:v>1</x:v>
      </x:c>
      <x:c r="D16" s="20" t="n">
        <x:v>2</x:v>
      </x:c>
      <x:c r="E16" s="20" t="n">
        <x:v>3</x:v>
      </x:c>
      <x:c r="F16" s="20" t="inlineStr">
        <x:is>
          <x:t xml:space="preserve">Хит</x:t>
        </x:is>
      </x:c>
    </x:row>
    <x:row r="17">
      <x:c r="A17" s="20" t="inlineStr">
        <x:is>
          <x:t xml:space="preserve">Большаков</x:t>
        </x:is>
      </x:c>
      <x:c r="B17" s="20" t="inlineStr">
        <x:is>
          <x:t xml:space="preserve">Металлург</x:t>
        </x:is>
      </x:c>
      <x:c r="C17" s="20" t="n">
        <x:v>0</x:v>
      </x:c>
      <x:c r="D17" s="20" t="n">
        <x:v>3</x:v>
      </x:c>
      <x:c r="E17" s="20" t="n">
        <x:v>3</x:v>
      </x:c>
      <x:c r="F17" s="20" t="inlineStr">
        <x:is>
          <x:t xml:space="preserve">Хит</x:t>
        </x:is>
      </x:c>
    </x:row>
    <x:row r="18">
      <x:c r="A18" s="20" t="inlineStr">
        <x:is>
          <x:t xml:space="preserve">Гостев</x:t>
        </x:is>
      </x:c>
      <x:c r="B18" s="20" t="inlineStr">
        <x:is>
          <x:t xml:space="preserve">Юность</x:t>
        </x:is>
      </x:c>
      <x:c r="C18" s="20" t="n">
        <x:v>3</x:v>
      </x:c>
      <x:c r="D18" s="20" t="n">
        <x:v>0</x:v>
      </x:c>
      <x:c r="E18" s="20" t="n">
        <x:v>3</x:v>
      </x:c>
      <x:c r="F18" s="20" t="inlineStr">
        <x:is>
          <x:t xml:space="preserve">Хит</x:t>
        </x:is>
      </x:c>
    </x:row>
    <x:row r="19">
      <x:c r="A19" s="20" t="inlineStr">
        <x:is>
          <x:t xml:space="preserve">Ерменков</x:t>
        </x:is>
      </x:c>
      <x:c r="B19" s="20" t="inlineStr">
        <x:is>
          <x:t xml:space="preserve">Металлург</x:t>
        </x:is>
      </x:c>
      <x:c r="C19" s="20" t="n">
        <x:v>1</x:v>
      </x:c>
      <x:c r="D19" s="20" t="n">
        <x:v>2</x:v>
      </x:c>
      <x:c r="E19" s="20" t="n">
        <x:v>3</x:v>
      </x:c>
      <x:c r="F19" s="20" t="inlineStr">
        <x:is>
          <x:t xml:space="preserve">Хит</x:t>
        </x:is>
      </x:c>
    </x:row>
    <x:row r="20">
      <x:c r="A20" s="20" t="inlineStr">
        <x:is>
          <x:t xml:space="preserve">Никитич</x:t>
        </x:is>
      </x:c>
      <x:c r="B20" s="20" t="inlineStr">
        <x:is>
          <x:t xml:space="preserve">Брест</x:t>
        </x:is>
      </x:c>
      <x:c r="C20" s="20" t="n">
        <x:v>3</x:v>
      </x:c>
      <x:c r="D20" s="20" t="n">
        <x:v>0</x:v>
      </x:c>
      <x:c r="E20" s="20" t="n">
        <x:v>3</x:v>
      </x:c>
      <x:c r="F20" s="20" t="inlineStr">
        <x:is>
          <x:t xml:space="preserve">Хит</x:t>
        </x:is>
      </x:c>
    </x:row>
    <x:row r="21">
      <x:c r="A21" s="20" t="inlineStr">
        <x:is>
          <x:t xml:space="preserve">Спат</x:t>
        </x:is>
      </x:c>
      <x:c r="B21" s="20" t="inlineStr">
        <x:is>
          <x:t xml:space="preserve">Металлург</x:t>
        </x:is>
      </x:c>
      <x:c r="C21" s="20" t="n">
        <x:v>1</x:v>
      </x:c>
      <x:c r="D21" s="20" t="n">
        <x:v>2</x:v>
      </x:c>
      <x:c r="E21" s="20" t="n">
        <x:v>3</x:v>
      </x:c>
      <x:c r="F21" s="20" t="inlineStr">
        <x:is>
          <x:t xml:space="preserve">Хит</x:t>
        </x:is>
      </x:c>
    </x:row>
    <x:row r="22">
      <x:c r="A22" s="20" t="inlineStr">
        <x:is>
          <x:t xml:space="preserve">Шевченко</x:t>
        </x:is>
      </x:c>
      <x:c r="B22" s="20" t="inlineStr">
        <x:is>
          <x:t xml:space="preserve">Металлург</x:t>
        </x:is>
      </x:c>
      <x:c r="C22" s="20" t="n">
        <x:v>1</x:v>
      </x:c>
      <x:c r="D22" s="20" t="n">
        <x:v>2</x:v>
      </x:c>
      <x:c r="E22" s="20" t="n">
        <x:v>3</x:v>
      </x:c>
      <x:c r="F22" s="20" t="inlineStr">
        <x:is>
          <x:t xml:space="preserve">Хит</x:t>
        </x:is>
      </x:c>
    </x:row>
    <x:row r="23">
      <x:c r="A23" s="20" t="inlineStr">
        <x:is>
          <x:t xml:space="preserve">Бобарико</x:t>
        </x:is>
      </x:c>
      <x:c r="B23" s="20" t="inlineStr">
        <x:is>
          <x:t xml:space="preserve">Витебск</x:t>
        </x:is>
      </x:c>
      <x:c r="C23" s="20" t="n">
        <x:v>2</x:v>
      </x:c>
      <x:c r="D23" s="20" t="n">
        <x:v>0</x:v>
      </x:c>
      <x:c r="E23" s="20" t="n">
        <x:v>2</x:v>
      </x:c>
      <x:c r="F23" s="20" t="inlineStr">
        <x:is>
          <x:t xml:space="preserve">Редкий выбор</x:t>
        </x:is>
      </x:c>
    </x:row>
    <x:row r="24">
      <x:c r="A24" s="20" t="inlineStr">
        <x:is>
          <x:t xml:space="preserve">Бронников</x:t>
        </x:is>
      </x:c>
      <x:c r="B24" s="20" t="inlineStr">
        <x:is>
          <x:t xml:space="preserve">Брест</x:t>
        </x:is>
      </x:c>
      <x:c r="C24" s="20" t="n">
        <x:v>2</x:v>
      </x:c>
      <x:c r="D24" s="20" t="n">
        <x:v>0</x:v>
      </x:c>
      <x:c r="E24" s="20" t="n">
        <x:v>2</x:v>
      </x:c>
      <x:c r="F24" s="20" t="inlineStr">
        <x:is>
          <x:t xml:space="preserve">Редкий выбор</x:t>
        </x:is>
      </x:c>
    </x:row>
    <x:row r="25">
      <x:c r="A25" s="20" t="inlineStr">
        <x:is>
          <x:t xml:space="preserve">Веремеенко</x:t>
        </x:is>
      </x:c>
      <x:c r="B25" s="20" t="inlineStr">
        <x:is>
          <x:t xml:space="preserve">Металург</x:t>
        </x:is>
      </x:c>
      <x:c r="C25" s="20" t="n">
        <x:v>1</x:v>
      </x:c>
      <x:c r="D25" s="20" t="n">
        <x:v>1</x:v>
      </x:c>
      <x:c r="E25" s="20" t="n">
        <x:v>2</x:v>
      </x:c>
      <x:c r="F25" s="20" t="inlineStr">
        <x:is>
          <x:t xml:space="preserve">Редкий выбор</x:t>
        </x:is>
      </x:c>
    </x:row>
    <x:row r="26">
      <x:c r="A26" s="20" t="inlineStr">
        <x:is>
          <x:t xml:space="preserve">Волчкенков</x:t>
        </x:is>
      </x:c>
      <x:c r="B26" s="20" t="inlineStr">
        <x:is>
          <x:t xml:space="preserve">Металлург</x:t>
        </x:is>
      </x:c>
      <x:c r="C26" s="20" t="n">
        <x:v>0</x:v>
      </x:c>
      <x:c r="D26" s="20" t="n">
        <x:v>2</x:v>
      </x:c>
      <x:c r="E26" s="20" t="n">
        <x:v>2</x:v>
      </x:c>
      <x:c r="F26" s="20" t="inlineStr">
        <x:is>
          <x:t xml:space="preserve">Редкий выбор</x:t>
        </x:is>
      </x:c>
    </x:row>
    <x:row r="27">
      <x:c r="A27" s="20" t="inlineStr">
        <x:is>
          <x:t xml:space="preserve">Еркин</x:t>
        </x:is>
      </x:c>
      <x:c r="B27" s="20" t="inlineStr">
        <x:is>
          <x:t xml:space="preserve">Славутич</x:t>
        </x:is>
      </x:c>
      <x:c r="C27" s="20" t="n">
        <x:v>0</x:v>
      </x:c>
      <x:c r="D27" s="20" t="n">
        <x:v>2</x:v>
      </x:c>
      <x:c r="E27" s="20" t="n">
        <x:v>2</x:v>
      </x:c>
      <x:c r="F27" s="20" t="inlineStr">
        <x:is>
          <x:t xml:space="preserve">Редкий выбор</x:t>
        </x:is>
      </x:c>
    </x:row>
    <x:row r="28">
      <x:c r="A28" s="20" t="inlineStr">
        <x:is>
          <x:t xml:space="preserve">Знахаренко</x:t>
        </x:is>
      </x:c>
      <x:c r="B28" s="20" t="inlineStr">
        <x:is>
          <x:t xml:space="preserve">Брест</x:t>
        </x:is>
      </x:c>
      <x:c r="C28" s="20" t="n">
        <x:v>2</x:v>
      </x:c>
      <x:c r="D28" s="20" t="n">
        <x:v>0</x:v>
      </x:c>
      <x:c r="E28" s="20" t="n">
        <x:v>2</x:v>
      </x:c>
      <x:c r="F28" s="20" t="inlineStr">
        <x:is>
          <x:t xml:space="preserve">Редкий выбор</x:t>
        </x:is>
      </x:c>
    </x:row>
    <x:row r="29">
      <x:c r="A29" s="20" t="inlineStr">
        <x:is>
          <x:t xml:space="preserve">Ипатов</x:t>
        </x:is>
      </x:c>
      <x:c r="B29" s="20" t="inlineStr">
        <x:is>
          <x:t xml:space="preserve">Витебск</x:t>
        </x:is>
      </x:c>
      <x:c r="C29" s="20" t="n">
        <x:v>2</x:v>
      </x:c>
      <x:c r="D29" s="20" t="n">
        <x:v>0</x:v>
      </x:c>
      <x:c r="E29" s="20" t="n">
        <x:v>2</x:v>
      </x:c>
      <x:c r="F29" s="20" t="inlineStr">
        <x:is>
          <x:t xml:space="preserve">Редкий выбор</x:t>
        </x:is>
      </x:c>
    </x:row>
    <x:row r="30">
      <x:c r="A30" s="20" t="inlineStr">
        <x:is>
          <x:t xml:space="preserve">Лисовец</x:t>
        </x:is>
      </x:c>
      <x:c r="B30" s="20" t="inlineStr">
        <x:is>
          <x:t xml:space="preserve">Неман</x:t>
        </x:is>
      </x:c>
      <x:c r="C30" s="20" t="n">
        <x:v>2</x:v>
      </x:c>
      <x:c r="D30" s="20" t="n">
        <x:v>0</x:v>
      </x:c>
      <x:c r="E30" s="20" t="n">
        <x:v>2</x:v>
      </x:c>
      <x:c r="F30" s="20" t="inlineStr">
        <x:is>
          <x:t xml:space="preserve">Редкий выбор</x:t>
        </x:is>
      </x:c>
    </x:row>
    <x:row r="31">
      <x:c r="A31" s="20" t="inlineStr">
        <x:is>
          <x:t xml:space="preserve">Мельников</x:t>
        </x:is>
      </x:c>
      <x:c r="B31" s="20" t="inlineStr">
        <x:is>
          <x:t xml:space="preserve">Брест</x:t>
        </x:is>
      </x:c>
      <x:c r="C31" s="20" t="n">
        <x:v>2</x:v>
      </x:c>
      <x:c r="D31" s="20" t="n">
        <x:v>0</x:v>
      </x:c>
      <x:c r="E31" s="20" t="n">
        <x:v>2</x:v>
      </x:c>
      <x:c r="F31" s="20" t="inlineStr">
        <x:is>
          <x:t xml:space="preserve">Редкий выбор</x:t>
        </x:is>
      </x:c>
    </x:row>
    <x:row r="32">
      <x:c r="A32" s="20" t="inlineStr">
        <x:is>
          <x:t xml:space="preserve">Сиротин</x:t>
        </x:is>
      </x:c>
      <x:c r="B32" s="20" t="inlineStr">
        <x:is>
          <x:t xml:space="preserve">Авиатор</x:t>
        </x:is>
      </x:c>
      <x:c r="C32" s="20" t="n">
        <x:v>2</x:v>
      </x:c>
      <x:c r="D32" s="20" t="n">
        <x:v>0</x:v>
      </x:c>
      <x:c r="E32" s="20" t="n">
        <x:v>2</x:v>
      </x:c>
      <x:c r="F32" s="20" t="inlineStr">
        <x:is>
          <x:t xml:space="preserve">Редкий выбор</x:t>
        </x:is>
      </x:c>
    </x:row>
    <x:row r="33">
      <x:c r="A33" s="20" t="inlineStr">
        <x:is>
          <x:t xml:space="preserve">Стефанович</x:t>
        </x:is>
      </x:c>
      <x:c r="B33" s="20" t="inlineStr">
        <x:is>
          <x:t xml:space="preserve">Металлург</x:t>
        </x:is>
      </x:c>
      <x:c r="C33" s="20" t="n">
        <x:v>0</x:v>
      </x:c>
      <x:c r="D33" s="20" t="n">
        <x:v>2</x:v>
      </x:c>
      <x:c r="E33" s="20" t="n">
        <x:v>2</x:v>
      </x:c>
      <x:c r="F33" s="20" t="inlineStr">
        <x:is>
          <x:t xml:space="preserve">Редкий выбор</x:t>
        </x:is>
      </x:c>
    </x:row>
    <x:row r="34">
      <x:c r="A34" s="20" t="inlineStr">
        <x:is>
          <x:t xml:space="preserve">Субхи</x:t>
        </x:is>
      </x:c>
      <x:c r="B34" s="20" t="inlineStr">
        <x:is>
          <x:t xml:space="preserve">Гомель</x:t>
        </x:is>
      </x:c>
      <x:c r="C34" s="20" t="n">
        <x:v>2</x:v>
      </x:c>
      <x:c r="D34" s="20" t="n">
        <x:v>0</x:v>
      </x:c>
      <x:c r="E34" s="20" t="n">
        <x:v>2</x:v>
      </x:c>
      <x:c r="F34" s="20" t="inlineStr">
        <x:is>
          <x:t xml:space="preserve">Редкий выбор</x:t>
        </x:is>
      </x:c>
    </x:row>
    <x:row r="35">
      <x:c r="A35" s="20" t="inlineStr">
        <x:is>
          <x:t xml:space="preserve">А.Гимбатов</x:t>
        </x:is>
      </x:c>
      <x:c r="B35" s="20" t="inlineStr">
        <x:is>
          <x:t xml:space="preserve">Витебск</x:t>
        </x:is>
      </x:c>
      <x:c r="C35" s="20" t="n">
        <x:v>1</x:v>
      </x:c>
      <x:c r="D35" s="20" t="n">
        <x:v>0</x:v>
      </x:c>
      <x:c r="E35" s="20" t="n">
        <x:v>1</x:v>
      </x:c>
      <x:c r="F35" s="20" t="inlineStr">
        <x:is>
          <x:t xml:space="preserve">Редкий выбор</x:t>
        </x:is>
      </x:c>
    </x:row>
    <x:row r="36">
      <x:c r="A36" s="20" t="inlineStr">
        <x:is>
          <x:t xml:space="preserve">Авраменко</x:t>
        </x:is>
      </x:c>
      <x:c r="B36" s="20" t="inlineStr">
        <x:is>
          <x:t xml:space="preserve">Славутич</x:t>
        </x:is>
      </x:c>
      <x:c r="C36" s="20" t="n">
        <x:v>0</x:v>
      </x:c>
      <x:c r="D36" s="20" t="n">
        <x:v>1</x:v>
      </x:c>
      <x:c r="E36" s="20" t="n">
        <x:v>1</x:v>
      </x:c>
      <x:c r="F36" s="20" t="inlineStr">
        <x:is>
          <x:t xml:space="preserve">Редкий выбор</x:t>
        </x:is>
      </x:c>
    </x:row>
    <x:row r="37">
      <x:c r="A37" s="20" t="inlineStr">
        <x:is>
          <x:t xml:space="preserve">Бовбель</x:t>
        </x:is>
      </x:c>
      <x:c r="B37" s="20" t="inlineStr">
        <x:is>
          <x:t xml:space="preserve">Металлург</x:t>
        </x:is>
      </x:c>
      <x:c r="C37" s="20" t="n">
        <x:v>0</x:v>
      </x:c>
      <x:c r="D37" s="20" t="n">
        <x:v>1</x:v>
      </x:c>
      <x:c r="E37" s="20" t="n">
        <x:v>1</x:v>
      </x:c>
      <x:c r="F37" s="20" t="inlineStr">
        <x:is>
          <x:t xml:space="preserve">Редкий выбор</x:t>
        </x:is>
      </x:c>
    </x:row>
    <x:row r="38">
      <x:c r="A38" s="20" t="inlineStr">
        <x:is>
          <x:t xml:space="preserve">Буйко</x:t>
        </x:is>
      </x:c>
      <x:c r="B38" s="20" t="inlineStr">
        <x:is>
          <x:t xml:space="preserve">Шахтер</x:t>
        </x:is>
      </x:c>
      <x:c r="C38" s="20" t="n">
        <x:v>1</x:v>
      </x:c>
      <x:c r="D38" s="20" t="n">
        <x:v>0</x:v>
      </x:c>
      <x:c r="E38" s="20" t="n">
        <x:v>1</x:v>
      </x:c>
      <x:c r="F38" s="20" t="inlineStr">
        <x:is>
          <x:t xml:space="preserve">Редкий выбор</x:t>
        </x:is>
      </x:c>
    </x:row>
    <x:row r="39">
      <x:c r="A39" s="20" t="inlineStr">
        <x:is>
          <x:t xml:space="preserve">Жидких</x:t>
        </x:is>
      </x:c>
      <x:c r="B39" s="20" t="inlineStr">
        <x:is>
          <x:t xml:space="preserve">Химик</x:t>
        </x:is>
      </x:c>
      <x:c r="C39" s="20" t="n">
        <x:v>1</x:v>
      </x:c>
      <x:c r="D39" s="20" t="n">
        <x:v>0</x:v>
      </x:c>
      <x:c r="E39" s="20" t="n">
        <x:v>1</x:v>
      </x:c>
      <x:c r="F39" s="20" t="inlineStr">
        <x:is>
          <x:t xml:space="preserve">Редкий выбор</x:t>
        </x:is>
      </x:c>
    </x:row>
    <x:row r="40">
      <x:c r="A40" s="20" t="inlineStr">
        <x:is>
          <x:t xml:space="preserve">Жуковский</x:t>
        </x:is>
      </x:c>
      <x:c r="B40" s="20" t="inlineStr">
        <x:is>
          <x:t xml:space="preserve">Неман</x:t>
        </x:is>
      </x:c>
      <x:c r="C40" s="20" t="n">
        <x:v>1</x:v>
      </x:c>
      <x:c r="D40" s="20" t="n">
        <x:v>0</x:v>
      </x:c>
      <x:c r="E40" s="20" t="n">
        <x:v>1</x:v>
      </x:c>
      <x:c r="F40" s="20" t="inlineStr">
        <x:is>
          <x:t xml:space="preserve">Редкий выбор</x:t>
        </x:is>
      </x:c>
    </x:row>
    <x:row r="41">
      <x:c r="A41" s="20" t="inlineStr">
        <x:is>
          <x:t xml:space="preserve">Замлянкин</x:t>
        </x:is>
      </x:c>
      <x:c r="B41" s="20" t="inlineStr">
        <x:is>
          <x:t xml:space="preserve">Химик</x:t>
        </x:is>
      </x:c>
      <x:c r="C41" s="20" t="n">
        <x:v>1</x:v>
      </x:c>
      <x:c r="D41" s="20" t="n">
        <x:v>0</x:v>
      </x:c>
      <x:c r="E41" s="20" t="n">
        <x:v>1</x:v>
      </x:c>
      <x:c r="F41" s="20" t="inlineStr">
        <x:is>
          <x:t xml:space="preserve">Редкий выбор</x:t>
        </x:is>
      </x:c>
    </x:row>
    <x:row r="42">
      <x:c r="A42" s="20" t="inlineStr">
        <x:is>
          <x:t xml:space="preserve">Иванов</x:t>
        </x:is>
      </x:c>
      <x:c r="B42" s="20" t="inlineStr">
        <x:is>
          <x:t xml:space="preserve">Брест</x:t>
        </x:is>
      </x:c>
      <x:c r="C42" s="20" t="n">
        <x:v>1</x:v>
      </x:c>
      <x:c r="D42" s="20" t="n">
        <x:v>0</x:v>
      </x:c>
      <x:c r="E42" s="20" t="n">
        <x:v>1</x:v>
      </x:c>
      <x:c r="F42" s="20" t="inlineStr">
        <x:is>
          <x:t xml:space="preserve">Редкий выбор</x:t>
        </x:is>
      </x:c>
    </x:row>
    <x:row r="43">
      <x:c r="A43" s="20" t="inlineStr">
        <x:is>
          <x:t xml:space="preserve">Казачек</x:t>
        </x:is>
      </x:c>
      <x:c r="B43" s="20" t="inlineStr">
        <x:is>
          <x:t xml:space="preserve">Славутич</x:t>
        </x:is>
      </x:c>
      <x:c r="C43" s="20" t="n">
        <x:v>0</x:v>
      </x:c>
      <x:c r="D43" s="20" t="n">
        <x:v>1</x:v>
      </x:c>
      <x:c r="E43" s="20" t="n">
        <x:v>1</x:v>
      </x:c>
      <x:c r="F43" s="20" t="inlineStr">
        <x:is>
          <x:t xml:space="preserve">Редкий выбор</x:t>
        </x:is>
      </x:c>
    </x:row>
    <x:row r="44">
      <x:c r="A44" s="20" t="inlineStr">
        <x:is>
          <x:t xml:space="preserve">Кузмаул</x:t>
        </x:is>
      </x:c>
      <x:c r="B44" s="20" t="inlineStr">
        <x:is>
          <x:t xml:space="preserve">Гомель</x:t>
        </x:is>
      </x:c>
      <x:c r="C44" s="20" t="n">
        <x:v>1</x:v>
      </x:c>
      <x:c r="D44" s="20" t="n">
        <x:v>0</x:v>
      </x:c>
      <x:c r="E44" s="20" t="n">
        <x:v>1</x:v>
      </x:c>
      <x:c r="F44" s="20" t="inlineStr">
        <x:is>
          <x:t xml:space="preserve">Редкий выбор</x:t>
        </x:is>
      </x:c>
    </x:row>
    <x:row r="45">
      <x:c r="A45" s="20" t="inlineStr">
        <x:is>
          <x:t xml:space="preserve">Кулагин</x:t>
        </x:is>
      </x:c>
      <x:c r="B45" s="20" t="inlineStr">
        <x:is>
          <x:t xml:space="preserve">Юность</x:t>
        </x:is>
      </x:c>
      <x:c r="C45" s="20" t="n">
        <x:v>1</x:v>
      </x:c>
      <x:c r="D45" s="20" t="n">
        <x:v>0</x:v>
      </x:c>
      <x:c r="E45" s="20" t="n">
        <x:v>1</x:v>
      </x:c>
      <x:c r="F45" s="20" t="inlineStr">
        <x:is>
          <x:t xml:space="preserve">Редкий выбор</x:t>
        </x:is>
      </x:c>
    </x:row>
    <x:row r="46">
      <x:c r="A46" s="20" t="inlineStr">
        <x:is>
          <x:t xml:space="preserve">Кулиев</x:t>
        </x:is>
      </x:c>
      <x:c r="B46" s="20" t="inlineStr">
        <x:is>
          <x:t xml:space="preserve">Брест</x:t>
        </x:is>
      </x:c>
      <x:c r="C46" s="20" t="n">
        <x:v>1</x:v>
      </x:c>
      <x:c r="D46" s="20" t="n">
        <x:v>0</x:v>
      </x:c>
      <x:c r="E46" s="20" t="n">
        <x:v>1</x:v>
      </x:c>
      <x:c r="F46" s="20" t="inlineStr">
        <x:is>
          <x:t xml:space="preserve">Редкий выбор</x:t>
        </x:is>
      </x:c>
    </x:row>
    <x:row r="47">
      <x:c r="A47" s="20" t="inlineStr">
        <x:is>
          <x:t xml:space="preserve">Листопадов</x:t>
        </x:is>
      </x:c>
      <x:c r="B47" s="20" t="inlineStr">
        <x:is>
          <x:t xml:space="preserve">Витебск</x:t>
        </x:is>
      </x:c>
      <x:c r="C47" s="20" t="n">
        <x:v>1</x:v>
      </x:c>
      <x:c r="D47" s="20" t="n">
        <x:v>0</x:v>
      </x:c>
      <x:c r="E47" s="20" t="n">
        <x:v>1</x:v>
      </x:c>
      <x:c r="F47" s="20" t="inlineStr">
        <x:is>
          <x:t xml:space="preserve">Редкий выбор</x:t>
        </x:is>
      </x:c>
    </x:row>
    <x:row r="48">
      <x:c r="A48" s="20" t="inlineStr">
        <x:is>
          <x:t xml:space="preserve">Маманович</x:t>
        </x:is>
      </x:c>
      <x:c r="B48" s="20" t="inlineStr">
        <x:is>
          <x:t xml:space="preserve">Юность</x:t>
        </x:is>
      </x:c>
      <x:c r="C48" s="20" t="n">
        <x:v>0</x:v>
      </x:c>
      <x:c r="D48" s="20" t="n">
        <x:v>1</x:v>
      </x:c>
      <x:c r="E48" s="20" t="n">
        <x:v>1</x:v>
      </x:c>
      <x:c r="F48" s="20" t="inlineStr">
        <x:is>
          <x:t xml:space="preserve">Редкий выбор</x:t>
        </x:is>
      </x:c>
    </x:row>
    <x:row r="49">
      <x:c r="A49" s="20" t="inlineStr">
        <x:is>
          <x:t xml:space="preserve">Мартынюк</x:t>
        </x:is>
      </x:c>
      <x:c r="B49" s="20" t="inlineStr">
        <x:is>
          <x:t xml:space="preserve">Брест</x:t>
        </x:is>
      </x:c>
      <x:c r="C49" s="20" t="n">
        <x:v>1</x:v>
      </x:c>
      <x:c r="D49" s="20" t="n">
        <x:v>0</x:v>
      </x:c>
      <x:c r="E49" s="20" t="n">
        <x:v>1</x:v>
      </x:c>
      <x:c r="F49" s="20" t="inlineStr">
        <x:is>
          <x:t xml:space="preserve">Редкий выбор</x:t>
        </x:is>
      </x:c>
    </x:row>
    <x:row r="50">
      <x:c r="A50" s="20" t="inlineStr">
        <x:is>
          <x:t xml:space="preserve">Мисюль</x:t>
        </x:is>
      </x:c>
      <x:c r="B50" s="20" t="inlineStr">
        <x:is>
          <x:t xml:space="preserve">Брест</x:t>
        </x:is>
      </x:c>
      <x:c r="C50" s="20" t="n">
        <x:v>1</x:v>
      </x:c>
      <x:c r="D50" s="20" t="n">
        <x:v>0</x:v>
      </x:c>
      <x:c r="E50" s="20" t="n">
        <x:v>1</x:v>
      </x:c>
      <x:c r="F50" s="20" t="inlineStr">
        <x:is>
          <x:t xml:space="preserve">Редкий выбор</x:t>
        </x:is>
      </x:c>
    </x:row>
    <x:row r="51">
      <x:c r="A51" s="20" t="inlineStr">
        <x:is>
          <x:t xml:space="preserve">Мытник</x:t>
        </x:is>
      </x:c>
      <x:c r="B51" s="20" t="inlineStr">
        <x:is>
          <x:t xml:space="preserve">Юность</x:t>
        </x:is>
      </x:c>
      <x:c r="C51" s="20" t="n">
        <x:v>1</x:v>
      </x:c>
      <x:c r="D51" s="20" t="n">
        <x:v>0</x:v>
      </x:c>
      <x:c r="E51" s="20" t="n">
        <x:v>1</x:v>
      </x:c>
      <x:c r="F51" s="20" t="inlineStr">
        <x:is>
          <x:t xml:space="preserve">Редкий выбор</x:t>
        </x:is>
      </x:c>
    </x:row>
    <x:row r="52">
      <x:c r="A52" s="20" t="inlineStr">
        <x:is>
          <x:t xml:space="preserve">Носков</x:t>
        </x:is>
      </x:c>
      <x:c r="B52" s="20" t="inlineStr">
        <x:is>
          <x:t xml:space="preserve">Славутич</x:t>
        </x:is>
      </x:c>
      <x:c r="C52" s="20" t="n">
        <x:v>0</x:v>
      </x:c>
      <x:c r="D52" s="20" t="n">
        <x:v>1</x:v>
      </x:c>
      <x:c r="E52" s="20" t="n">
        <x:v>1</x:v>
      </x:c>
      <x:c r="F52" s="20" t="inlineStr">
        <x:is>
          <x:t xml:space="preserve">Редкий выбор</x:t>
        </x:is>
      </x:c>
    </x:row>
    <x:row r="53">
      <x:c r="A53" s="20" t="inlineStr">
        <x:is>
          <x:t xml:space="preserve">Поддубный</x:t>
        </x:is>
      </x:c>
      <x:c r="B53" s="20" t="inlineStr">
        <x:is>
          <x:t xml:space="preserve">Неман</x:t>
        </x:is>
      </x:c>
      <x:c r="C53" s="20" t="n">
        <x:v>1</x:v>
      </x:c>
      <x:c r="D53" s="20" t="n">
        <x:v>0</x:v>
      </x:c>
      <x:c r="E53" s="20" t="n">
        <x:v>1</x:v>
      </x:c>
      <x:c r="F53" s="20" t="inlineStr">
        <x:is>
          <x:t xml:space="preserve">Редкий выбор</x:t>
        </x:is>
      </x:c>
    </x:row>
    <x:row r="54">
      <x:c r="A54" s="20" t="inlineStr">
        <x:is>
          <x:t xml:space="preserve">Рычков</x:t>
        </x:is>
      </x:c>
      <x:c r="B54" s="20" t="inlineStr">
        <x:is>
          <x:t xml:space="preserve">Локомотив</x:t>
        </x:is>
      </x:c>
      <x:c r="C54" s="20" t="n">
        <x:v>1</x:v>
      </x:c>
      <x:c r="D54" s="20" t="n">
        <x:v>0</x:v>
      </x:c>
      <x:c r="E54" s="20" t="n">
        <x:v>1</x:v>
      </x:c>
      <x:c r="F54" s="20" t="inlineStr">
        <x:is>
          <x:t xml:space="preserve">Редкий выбор</x:t>
        </x:is>
      </x:c>
    </x:row>
    <x:row r="55">
      <x:c r="A55" s="20" t="inlineStr">
        <x:is>
          <x:t xml:space="preserve">Сафин-Трегубов</x:t>
        </x:is>
      </x:c>
      <x:c r="B55" s="20" t="inlineStr">
        <x:is>
          <x:t xml:space="preserve">Витебск</x:t>
        </x:is>
      </x:c>
      <x:c r="C55" s="20" t="n">
        <x:v>1</x:v>
      </x:c>
      <x:c r="D55" s="20" t="n">
        <x:v>0</x:v>
      </x:c>
      <x:c r="E55" s="20" t="n">
        <x:v>1</x:v>
      </x:c>
      <x:c r="F55" s="20" t="inlineStr">
        <x:is>
          <x:t xml:space="preserve">Редкий выбор</x:t>
        </x:is>
      </x:c>
    </x:row>
    <x:row r="56">
      <x:c r="A56" s="20" t="inlineStr">
        <x:is>
          <x:t xml:space="preserve">Степанов</x:t>
        </x:is>
      </x:c>
      <x:c r="B56" s="20" t="inlineStr">
        <x:is>
          <x:t xml:space="preserve">Молодечно</x:t>
        </x:is>
      </x:c>
      <x:c r="C56" s="20" t="n">
        <x:v>1</x:v>
      </x:c>
      <x:c r="D56" s="20" t="n">
        <x:v>0</x:v>
      </x:c>
      <x:c r="E56" s="20" t="n">
        <x:v>1</x:v>
      </x:c>
      <x:c r="F56" s="20" t="inlineStr">
        <x:is>
          <x:t xml:space="preserve">Редкий выбор</x:t>
        </x:is>
      </x:c>
    </x:row>
    <x:row r="57">
      <x:c r="A57" s="20" t="inlineStr">
        <x:is>
          <x:t xml:space="preserve">Усков</x:t>
        </x:is>
      </x:c>
      <x:c r="B57" s="20" t="inlineStr">
        <x:is>
          <x:t xml:space="preserve">Металлург</x:t>
        </x:is>
      </x:c>
      <x:c r="C57" s="20" t="n">
        <x:v>0</x:v>
      </x:c>
      <x:c r="D57" s="20" t="n">
        <x:v>1</x:v>
      </x:c>
      <x:c r="E57" s="20" t="n">
        <x:v>1</x:v>
      </x:c>
      <x:c r="F57" s="20" t="inlineStr">
        <x:is>
          <x:t xml:space="preserve">Редкий выбор</x:t>
        </x:is>
      </x:c>
    </x:row>
    <x:row r="58">
      <x:c r="A58" s="20" t="inlineStr">
        <x:is>
          <x:t xml:space="preserve">Шикуть</x:t>
        </x:is>
      </x:c>
      <x:c r="B58" s="20" t="inlineStr">
        <x:is>
          <x:t xml:space="preserve">Юность</x:t>
        </x:is>
      </x:c>
      <x:c r="C58" s="20" t="n">
        <x:v>1</x:v>
      </x:c>
      <x:c r="D58" s="20" t="n">
        <x:v>0</x:v>
      </x:c>
      <x:c r="E58" s="20" t="n">
        <x:v>1</x:v>
      </x:c>
      <x:c r="F58" s="20" t="inlineStr">
        <x:is>
          <x:t xml:space="preserve">Редкий выбор</x:t>
        </x:is>
      </x:c>
    </x:row>
  </x:sheetData>
  <x:mergeCells>
    <x:mergeCell ref="A1:F1"/>
  </x:mergeCells>
  <x:conditionalFormatting sqref="E3:E58">
    <x:cfRule type="colorScale" priority="1">
      <x:colorScale>
        <x:cfvo type="min"/>
        <x:cfvo type="percentile" val="50"/>
        <x:cfvo type="max"/>
        <x:color rgb="00FFF2CC"/>
        <x:color rgb="00FFD966"/>
        <x:color rgb="0070AD4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331cfa896b444c7"/>
  </x:tableParts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s="26" t="inlineStr">
        <x:is>
          <x:t xml:space="preserve">Lists</x:t>
        </x:is>
      </x:c>
      <x:c r="C1" t="inlineStr">
        <x:is>
          <x:t xml:space="preserve">Positions</x:t>
        </x:is>
      </x:c>
      <x:c r="D1" t="inlineStr">
        <x:is>
          <x:t xml:space="preserve">Flags</x:t>
        </x:is>
      </x:c>
    </x:row>
    <x:row r="2">
      <x:c r="A2" t="inlineStr">
        <x:is>
          <x:t xml:space="preserve">Participants</x:t>
        </x:is>
      </x:c>
      <x:c r="B2" t="inlineStr">
        <x:is>
          <x:t xml:space="preserve">Stages</x:t>
        </x:is>
      </x:c>
      <x:c r="C2" t="inlineStr">
        <x:is>
          <x:t xml:space="preserve">Position</x:t>
        </x:is>
      </x:c>
      <x:c r="D2" t="inlineStr">
        <x:is>
          <x:t xml:space="preserve">Да/Нет</x:t>
        </x:is>
      </x:c>
    </x:row>
    <x:row r="3">
      <x:c r="A3" t="inlineStr">
        <x:is>
          <x:t xml:space="preserve">Женя Космос</x:t>
        </x:is>
      </x:c>
      <x:c r="B3" t="inlineStr">
        <x:is>
          <x:t xml:space="preserve">Регулярка</x:t>
        </x:is>
      </x:c>
      <x:c r="C3" t="inlineStr">
        <x:is>
          <x:t xml:space="preserve">Вратарь</x:t>
        </x:is>
      </x:c>
      <x:c r="D3" t="inlineStr">
        <x:is>
          <x:t xml:space="preserve">Да</x:t>
        </x:is>
      </x:c>
    </x:row>
    <x:row r="4">
      <x:c r="A4" t="inlineStr">
        <x:is>
          <x:t xml:space="preserve">Александр</x:t>
        </x:is>
      </x:c>
      <x:c r="B4" t="inlineStr">
        <x:is>
          <x:t xml:space="preserve">Плей-ин/ПО</x:t>
        </x:is>
      </x:c>
      <x:c r="C4" t="inlineStr">
        <x:is>
          <x:t xml:space="preserve">Защитник</x:t>
        </x:is>
      </x:c>
      <x:c r="D4" t="inlineStr">
        <x:is>
          <x:t xml:space="preserve">Нет</x:t>
        </x:is>
      </x:c>
    </x:row>
    <x:row r="5">
      <x:c r="A5" t="inlineStr">
        <x:is>
          <x:t xml:space="preserve">КатяБет</x:t>
        </x:is>
      </x:c>
      <x:c r="C5" t="inlineStr">
        <x:is>
          <x:t xml:space="preserve">Нападающий</x:t>
        </x:is>
      </x:c>
    </x:row>
    <x:row r="6">
      <x:c r="A6" t="inlineStr">
        <x:is>
          <x:t xml:space="preserve">Яна</x:t>
        </x:is>
      </x:c>
    </x:row>
    <x:row r="7">
      <x:c r="A7" t="inlineStr">
        <x:is>
          <x:t xml:space="preserve">Лерка</x:t>
        </x:is>
      </x:c>
    </x:row>
    <x:row r="8">
      <x:c r="A8" t="inlineStr">
        <x:is>
          <x:t xml:space="preserve">Валера Волович</x:t>
        </x:is>
      </x:c>
    </x:row>
    <x:row r="9">
      <x:c r="A9" t="inlineStr">
        <x:is>
          <x:t xml:space="preserve">Dasha</x:t>
        </x:is>
      </x:c>
    </x:row>
    <x:row r="10">
      <x:c r="A10" t="inlineStr">
        <x:is>
          <x:t xml:space="preserve">Влада</x:t>
        </x:is>
      </x:c>
    </x:row>
    <x:row r="11">
      <x:c r="A11" t="inlineStr">
        <x:is>
          <x:t xml:space="preserve">Андрей</x:t>
        </x:is>
      </x:c>
    </x:row>
    <x:row r="12">
      <x:c r="A12" t="inlineStr">
        <x:is>
          <x:t xml:space="preserve">Александр Свиридов</x:t>
        </x:is>
      </x:c>
    </x:row>
    <x:row r="13">
      <x:c r="A13" t="inlineStr">
        <x:is>
          <x:t xml:space="preserve">Надюша</x:t>
        </x:is>
      </x:c>
    </x:row>
    <x:row r="14">
      <x:c r="A14" t="inlineStr">
        <x:is>
          <x:t xml:space="preserve">Катюша</x:t>
        </x:is>
      </x:c>
    </x:row>
    <x:row r="15">
      <x:c r="A15" t="inlineStr">
        <x:is>
          <x:t xml:space="preserve">Жека</x:t>
        </x:is>
      </x:c>
    </x:row>
    <x:row r="16">
      <x:c r="A16" t="inlineStr">
        <x:is>
          <x:t xml:space="preserve">Алексей</x:t>
        </x:is>
      </x:c>
    </x:row>
    <x:row r="18">
      <x:c r="A18" t="inlineStr">
        <x:is>
          <x:t xml:space="preserve">Клубы Betera</x:t>
        </x:is>
      </x:c>
    </x:row>
    <x:row r="19">
      <x:c r="A19" t="inlineStr">
        <x:is>
          <x:t xml:space="preserve">Авиатор</x:t>
        </x:is>
      </x:c>
    </x:row>
    <x:row r="20">
      <x:c r="A20" t="inlineStr">
        <x:is>
          <x:t xml:space="preserve">Брест</x:t>
        </x:is>
      </x:c>
    </x:row>
    <x:row r="21">
      <x:c r="A21" t="inlineStr">
        <x:is>
          <x:t xml:space="preserve">Витебск</x:t>
        </x:is>
      </x:c>
    </x:row>
    <x:row r="22">
      <x:c r="A22" t="inlineStr">
        <x:is>
          <x:t xml:space="preserve">Гомель</x:t>
        </x:is>
      </x:c>
    </x:row>
    <x:row r="23">
      <x:c r="A23" t="inlineStr">
        <x:is>
          <x:t xml:space="preserve">Динамо-Молодечно</x:t>
        </x:is>
      </x:c>
    </x:row>
    <x:row r="24">
      <x:c r="A24" t="inlineStr">
        <x:is>
          <x:t xml:space="preserve">Лида</x:t>
        </x:is>
      </x:c>
    </x:row>
    <x:row r="25">
      <x:c r="A25" t="inlineStr">
        <x:is>
          <x:t xml:space="preserve">Локомотив</x:t>
        </x:is>
      </x:c>
    </x:row>
    <x:row r="26">
      <x:c r="A26" t="inlineStr">
        <x:is>
          <x:t xml:space="preserve">Металлург</x:t>
        </x:is>
      </x:c>
    </x:row>
    <x:row r="27">
      <x:c r="A27" t="inlineStr">
        <x:is>
          <x:t xml:space="preserve">Могилев</x:t>
        </x:is>
      </x:c>
    </x:row>
    <x:row r="28">
      <x:c r="A28" t="inlineStr">
        <x:is>
          <x:t xml:space="preserve">Неман</x:t>
        </x:is>
      </x:c>
    </x:row>
    <x:row r="29">
      <x:c r="A29" t="inlineStr">
        <x:is>
          <x:t xml:space="preserve">Славутич</x:t>
        </x:is>
      </x:c>
    </x:row>
    <x:row r="30">
      <x:c r="A30" t="inlineStr">
        <x:is>
          <x:t xml:space="preserve">Химик</x:t>
        </x:is>
      </x:c>
    </x:row>
    <x:row r="31">
      <x:c r="A31" t="inlineStr">
        <x:is>
          <x:t xml:space="preserve">Шахтер</x:t>
        </x:is>
      </x:c>
    </x:row>
    <x:row r="32">
      <x:c r="A32" t="inlineStr">
        <x:is>
          <x:t xml:space="preserve">Юность</x:t>
        </x:is>
      </x:c>
    </x:row>
  </x:sheetData>
  <x:mergeCells>
    <x:mergeCell ref="A1:B1"/>
  </x:mergeCells>
  <x:pageMargins left="0.7" right="0.7" top="0.75" bottom="0.75" header="0.3" footer="0.3"/>
</x:worksheet>
</file>